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zova\Documents\R\02 cenoveKalkukacky\EE\EE_shiny_app\data\"/>
    </mc:Choice>
  </mc:AlternateContent>
  <xr:revisionPtr revIDLastSave="0" documentId="13_ncr:1_{12A7C73E-9713-4DCD-80E1-C489295487F2}" xr6:coauthVersionLast="36" xr6:coauthVersionMax="36" xr10:uidLastSave="{00000000-0000-0000-0000-000000000000}"/>
  <bookViews>
    <workbookView xWindow="0" yWindow="0" windowWidth="30720" windowHeight="13284" firstSheet="1" activeTab="1" xr2:uid="{F3DAE777-5404-4A54-B56B-E80B53D5C96F}"/>
  </bookViews>
  <sheets>
    <sheet name="Settings" sheetId="1" state="veryHidden" r:id="rId1"/>
    <sheet name="Rentry" sheetId="6" r:id="rId2"/>
    <sheet name="Propojeni na FWD v Pricingu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5" l="1"/>
  <c r="A2" i="6" s="1"/>
  <c r="B2" i="5"/>
  <c r="C2" i="5"/>
  <c r="C2" i="6" s="1"/>
  <c r="D2" i="5"/>
  <c r="D2" i="6" s="1"/>
  <c r="A3" i="5"/>
  <c r="A3" i="6" s="1"/>
  <c r="B3" i="5"/>
  <c r="C3" i="5"/>
  <c r="C3" i="6" s="1"/>
  <c r="D3" i="5"/>
  <c r="D3" i="6" s="1"/>
  <c r="A4" i="5"/>
  <c r="A4" i="6" s="1"/>
  <c r="B4" i="5"/>
  <c r="C4" i="5"/>
  <c r="C4" i="6" s="1"/>
  <c r="D4" i="5"/>
  <c r="D4" i="6" s="1"/>
  <c r="A5" i="5"/>
  <c r="A5" i="6" s="1"/>
  <c r="B5" i="5"/>
  <c r="C5" i="5"/>
  <c r="C5" i="6" s="1"/>
  <c r="D5" i="5"/>
  <c r="D5" i="6" s="1"/>
  <c r="A6" i="5"/>
  <c r="A6" i="6" s="1"/>
  <c r="B6" i="5"/>
  <c r="C6" i="5"/>
  <c r="C6" i="6" s="1"/>
  <c r="D6" i="5"/>
  <c r="D6" i="6" s="1"/>
  <c r="A7" i="5"/>
  <c r="A7" i="6" s="1"/>
  <c r="B7" i="5"/>
  <c r="C7" i="5"/>
  <c r="C7" i="6" s="1"/>
  <c r="D7" i="5"/>
  <c r="D7" i="6" s="1"/>
  <c r="A8" i="5"/>
  <c r="A8" i="6" s="1"/>
  <c r="B8" i="5"/>
  <c r="C8" i="5"/>
  <c r="C8" i="6" s="1"/>
  <c r="D8" i="5"/>
  <c r="D8" i="6" s="1"/>
  <c r="A9" i="5"/>
  <c r="A9" i="6" s="1"/>
  <c r="B9" i="5"/>
  <c r="C9" i="5"/>
  <c r="C9" i="6" s="1"/>
  <c r="D9" i="5"/>
  <c r="D9" i="6" s="1"/>
  <c r="A10" i="5"/>
  <c r="A10" i="6" s="1"/>
  <c r="B10" i="5"/>
  <c r="C10" i="5"/>
  <c r="C10" i="6" s="1"/>
  <c r="D10" i="5"/>
  <c r="D10" i="6" s="1"/>
  <c r="A11" i="5"/>
  <c r="A11" i="6" s="1"/>
  <c r="B11" i="5"/>
  <c r="C11" i="5"/>
  <c r="C11" i="6" s="1"/>
  <c r="D11" i="5"/>
  <c r="D11" i="6" s="1"/>
  <c r="A12" i="5"/>
  <c r="A12" i="6" s="1"/>
  <c r="B12" i="5"/>
  <c r="C12" i="5"/>
  <c r="C12" i="6" s="1"/>
  <c r="D12" i="5"/>
  <c r="D12" i="6" s="1"/>
  <c r="A13" i="5"/>
  <c r="A13" i="6" s="1"/>
  <c r="B13" i="5"/>
  <c r="C13" i="5"/>
  <c r="C13" i="6" s="1"/>
  <c r="D13" i="5"/>
  <c r="D13" i="6" s="1"/>
  <c r="A14" i="5"/>
  <c r="A14" i="6" s="1"/>
  <c r="B14" i="5"/>
  <c r="C14" i="5"/>
  <c r="C14" i="6" s="1"/>
  <c r="D14" i="5"/>
  <c r="D14" i="6" s="1"/>
  <c r="A15" i="5"/>
  <c r="A15" i="6" s="1"/>
  <c r="B15" i="5"/>
  <c r="C15" i="5"/>
  <c r="C15" i="6" s="1"/>
  <c r="D15" i="5"/>
  <c r="D15" i="6" s="1"/>
  <c r="A16" i="5"/>
  <c r="A16" i="6" s="1"/>
  <c r="B16" i="5"/>
  <c r="C16" i="5"/>
  <c r="C16" i="6" s="1"/>
  <c r="D16" i="5"/>
  <c r="D16" i="6" s="1"/>
  <c r="A17" i="5"/>
  <c r="A17" i="6" s="1"/>
  <c r="B17" i="5"/>
  <c r="C17" i="5"/>
  <c r="C17" i="6" s="1"/>
  <c r="D17" i="5"/>
  <c r="D17" i="6" s="1"/>
  <c r="A18" i="5"/>
  <c r="A18" i="6" s="1"/>
  <c r="B18" i="5"/>
  <c r="C18" i="5"/>
  <c r="C18" i="6" s="1"/>
  <c r="D18" i="5"/>
  <c r="D18" i="6" s="1"/>
  <c r="A19" i="5"/>
  <c r="A19" i="6" s="1"/>
  <c r="B19" i="5"/>
  <c r="C19" i="5"/>
  <c r="C19" i="6" s="1"/>
  <c r="D19" i="5"/>
  <c r="D19" i="6" s="1"/>
  <c r="A20" i="5"/>
  <c r="A20" i="6" s="1"/>
  <c r="B20" i="5"/>
  <c r="C20" i="5"/>
  <c r="C20" i="6" s="1"/>
  <c r="D20" i="5"/>
  <c r="D20" i="6" s="1"/>
  <c r="A21" i="5"/>
  <c r="A21" i="6" s="1"/>
  <c r="B21" i="5"/>
  <c r="C21" i="5"/>
  <c r="C21" i="6" s="1"/>
  <c r="D21" i="5"/>
  <c r="D21" i="6" s="1"/>
  <c r="A22" i="5"/>
  <c r="A22" i="6" s="1"/>
  <c r="B22" i="5"/>
  <c r="C22" i="5"/>
  <c r="C22" i="6" s="1"/>
  <c r="D22" i="5"/>
  <c r="D22" i="6" s="1"/>
  <c r="A23" i="5"/>
  <c r="A23" i="6" s="1"/>
  <c r="B23" i="5"/>
  <c r="C23" i="5"/>
  <c r="C23" i="6" s="1"/>
  <c r="D23" i="5"/>
  <c r="D23" i="6" s="1"/>
  <c r="A24" i="5"/>
  <c r="A24" i="6" s="1"/>
  <c r="B24" i="5"/>
  <c r="C24" i="5"/>
  <c r="C24" i="6" s="1"/>
  <c r="D24" i="5"/>
  <c r="D24" i="6" s="1"/>
  <c r="A25" i="5"/>
  <c r="A25" i="6" s="1"/>
  <c r="B25" i="5"/>
  <c r="C25" i="5"/>
  <c r="C25" i="6" s="1"/>
  <c r="D25" i="5"/>
  <c r="D25" i="6" s="1"/>
  <c r="A26" i="5"/>
  <c r="A26" i="6" s="1"/>
  <c r="B26" i="5"/>
  <c r="C26" i="5"/>
  <c r="C26" i="6" s="1"/>
  <c r="D26" i="5"/>
  <c r="D26" i="6" s="1"/>
  <c r="A27" i="5"/>
  <c r="A27" i="6" s="1"/>
  <c r="B27" i="5"/>
  <c r="C27" i="5"/>
  <c r="C27" i="6" s="1"/>
  <c r="D27" i="5"/>
  <c r="D27" i="6" s="1"/>
  <c r="A28" i="5"/>
  <c r="A28" i="6" s="1"/>
  <c r="B28" i="5"/>
  <c r="C28" i="5"/>
  <c r="C28" i="6" s="1"/>
  <c r="D28" i="5"/>
  <c r="D28" i="6" s="1"/>
  <c r="A29" i="5"/>
  <c r="A29" i="6" s="1"/>
  <c r="B29" i="5"/>
  <c r="C29" i="5"/>
  <c r="C29" i="6" s="1"/>
  <c r="D29" i="5"/>
  <c r="D29" i="6" s="1"/>
  <c r="A30" i="5"/>
  <c r="A30" i="6" s="1"/>
  <c r="B30" i="5"/>
  <c r="C30" i="5"/>
  <c r="C30" i="6" s="1"/>
  <c r="D30" i="5"/>
  <c r="D30" i="6" s="1"/>
  <c r="A31" i="5"/>
  <c r="A31" i="6" s="1"/>
  <c r="B31" i="5"/>
  <c r="C31" i="5"/>
  <c r="C31" i="6" s="1"/>
  <c r="D31" i="5"/>
  <c r="D31" i="6" s="1"/>
  <c r="A32" i="5"/>
  <c r="A32" i="6" s="1"/>
  <c r="B32" i="5"/>
  <c r="C32" i="5"/>
  <c r="C32" i="6" s="1"/>
  <c r="D32" i="5"/>
  <c r="D32" i="6" s="1"/>
  <c r="A33" i="5"/>
  <c r="A33" i="6" s="1"/>
  <c r="B33" i="5"/>
  <c r="C33" i="5"/>
  <c r="C33" i="6" s="1"/>
  <c r="D33" i="5"/>
  <c r="D33" i="6" s="1"/>
  <c r="A34" i="5"/>
  <c r="A34" i="6" s="1"/>
  <c r="B34" i="5"/>
  <c r="C34" i="5"/>
  <c r="C34" i="6" s="1"/>
  <c r="D34" i="5"/>
  <c r="D34" i="6" s="1"/>
  <c r="A35" i="5"/>
  <c r="A35" i="6" s="1"/>
  <c r="B35" i="5"/>
  <c r="C35" i="5"/>
  <c r="C35" i="6" s="1"/>
  <c r="D35" i="5"/>
  <c r="D35" i="6" s="1"/>
  <c r="A36" i="5"/>
  <c r="A36" i="6" s="1"/>
  <c r="B36" i="5"/>
  <c r="C36" i="5"/>
  <c r="C36" i="6" s="1"/>
  <c r="D36" i="5"/>
  <c r="D36" i="6" s="1"/>
  <c r="A37" i="5"/>
  <c r="A37" i="6" s="1"/>
  <c r="B37" i="5"/>
  <c r="C37" i="5"/>
  <c r="C37" i="6" s="1"/>
  <c r="D37" i="5"/>
  <c r="D37" i="6" s="1"/>
  <c r="A38" i="5"/>
  <c r="A38" i="6" s="1"/>
  <c r="B38" i="5"/>
  <c r="C38" i="5"/>
  <c r="C38" i="6" s="1"/>
  <c r="D38" i="5"/>
  <c r="D38" i="6" s="1"/>
  <c r="A39" i="5"/>
  <c r="A39" i="6" s="1"/>
  <c r="B39" i="5"/>
  <c r="C39" i="5"/>
  <c r="C39" i="6" s="1"/>
  <c r="D39" i="5"/>
  <c r="D39" i="6" s="1"/>
  <c r="A40" i="5"/>
  <c r="A40" i="6" s="1"/>
  <c r="B40" i="5"/>
  <c r="C40" i="5"/>
  <c r="C40" i="6" s="1"/>
  <c r="D40" i="5"/>
  <c r="D40" i="6" s="1"/>
  <c r="A41" i="5"/>
  <c r="A41" i="6" s="1"/>
  <c r="B41" i="5"/>
  <c r="C41" i="5"/>
  <c r="C41" i="6" s="1"/>
  <c r="D41" i="5"/>
  <c r="D41" i="6" s="1"/>
  <c r="A42" i="5"/>
  <c r="A42" i="6" s="1"/>
  <c r="B42" i="5"/>
  <c r="C42" i="5"/>
  <c r="C42" i="6" s="1"/>
  <c r="D42" i="5"/>
  <c r="D42" i="6" s="1"/>
  <c r="A43" i="5"/>
  <c r="A43" i="6" s="1"/>
  <c r="B43" i="5"/>
  <c r="C43" i="5"/>
  <c r="C43" i="6" s="1"/>
  <c r="D43" i="5"/>
  <c r="D43" i="6" s="1"/>
  <c r="A44" i="5"/>
  <c r="A44" i="6" s="1"/>
  <c r="B44" i="5"/>
  <c r="C44" i="5"/>
  <c r="C44" i="6" s="1"/>
  <c r="D44" i="5"/>
  <c r="D44" i="6" s="1"/>
  <c r="A45" i="5"/>
  <c r="A45" i="6" s="1"/>
  <c r="B45" i="5"/>
  <c r="C45" i="5"/>
  <c r="C45" i="6" s="1"/>
  <c r="D45" i="5"/>
  <c r="D45" i="6" s="1"/>
  <c r="A46" i="5"/>
  <c r="A46" i="6" s="1"/>
  <c r="B46" i="5"/>
  <c r="C46" i="5"/>
  <c r="C46" i="6" s="1"/>
  <c r="D46" i="5"/>
  <c r="D46" i="6" s="1"/>
  <c r="A47" i="5"/>
  <c r="A47" i="6" s="1"/>
  <c r="B47" i="5"/>
  <c r="C47" i="5"/>
  <c r="C47" i="6" s="1"/>
  <c r="D47" i="5"/>
  <c r="D47" i="6" s="1"/>
  <c r="A48" i="5"/>
  <c r="A48" i="6" s="1"/>
  <c r="B48" i="5"/>
  <c r="C48" i="5"/>
  <c r="C48" i="6" s="1"/>
  <c r="D48" i="5"/>
  <c r="D48" i="6" s="1"/>
  <c r="A49" i="5"/>
  <c r="A49" i="6" s="1"/>
  <c r="B49" i="5"/>
  <c r="C49" i="5"/>
  <c r="C49" i="6" s="1"/>
  <c r="D49" i="5"/>
  <c r="D49" i="6" s="1"/>
  <c r="C5" i="1" l="1"/>
  <c r="C3" i="1"/>
  <c r="C4" i="1" s="1"/>
  <c r="E3" i="1" l="1"/>
  <c r="H3" i="1"/>
  <c r="F3" i="1"/>
  <c r="J3" i="1" l="1"/>
  <c r="I3" i="1"/>
  <c r="G3" i="1"/>
  <c r="C7" i="1" l="1"/>
</calcChain>
</file>

<file path=xl/sharedStrings.xml><?xml version="1.0" encoding="utf-8"?>
<sst xmlns="http://schemas.openxmlformats.org/spreadsheetml/2006/main" count="35" uniqueCount="31">
  <si>
    <t>SPP CZ | Denná aktualizácia forwardových cien NCG a FX rate</t>
  </si>
  <si>
    <t>YYYY</t>
  </si>
  <si>
    <t>MM</t>
  </si>
  <si>
    <t>MM_MMMM</t>
  </si>
  <si>
    <t>DD</t>
  </si>
  <si>
    <t>DD_MM_YYYY</t>
  </si>
  <si>
    <t>YYYY_MM_DD</t>
  </si>
  <si>
    <t>Januar</t>
  </si>
  <si>
    <t>Aktuálny dátum:</t>
  </si>
  <si>
    <t>Februar</t>
  </si>
  <si>
    <t>Aktuálny dátum (YYMMDD):</t>
  </si>
  <si>
    <t>Marec</t>
  </si>
  <si>
    <t>Dátum a čas aktualizácie:</t>
  </si>
  <si>
    <t>April</t>
  </si>
  <si>
    <t>Maj</t>
  </si>
  <si>
    <t>Cesta k zdrojovej zložke:</t>
  </si>
  <si>
    <t>Jun</t>
  </si>
  <si>
    <t>Verzia zdrojového súboru použitá na aktualizáciu:</t>
  </si>
  <si>
    <t>Kalkulacka_new_version_2025_10_20.xlsx</t>
  </si>
  <si>
    <t>Jul</t>
  </si>
  <si>
    <t>August</t>
  </si>
  <si>
    <t>Cesta k cieľovej zložke:</t>
  </si>
  <si>
    <t>\\Hqs0338\s_ba\MM\DS_SPP CZ a.s\Kalkulacky\plyn\iba forward\</t>
  </si>
  <si>
    <t>September</t>
  </si>
  <si>
    <t>Oktober</t>
  </si>
  <si>
    <t>November</t>
  </si>
  <si>
    <t>December</t>
  </si>
  <si>
    <t>NCG</t>
  </si>
  <si>
    <t>FX rate</t>
  </si>
  <si>
    <t>mesic</t>
  </si>
  <si>
    <t>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</si>
</sst>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\ h:mm;@"/>
    <numFmt numFmtId="165" formatCode="0.0000"/>
    <numFmt numFmtId="166" formatCode="0.000"/>
    <numFmt numFmtId="167" formatCode="0.0000000000000000"/>
  </numFmts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trike/>
      <sz val="11"/>
      <color rgb="FF969696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2" tint="-0.249977111117893"/>
      <name val="Calibri"/>
      <family val="2"/>
      <charset val="238"/>
      <scheme val="minor"/>
    </font>
    <font>
      <sz val="11"/>
      <color theme="2" tint="-0.249977111117893"/>
      <name val="Calibri"/>
      <family val="2"/>
      <charset val="238"/>
      <scheme val="minor"/>
    </font>
    <font>
      <sz val="11"/>
      <color theme="2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1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8" fillId="0" borderId="0" xfId="0" applyFont="1"/>
    <xf numFmtId="164" fontId="0" fillId="0" borderId="0" xfId="0" applyNumberFormat="1" applyAlignment="1">
      <alignment horizontal="left"/>
    </xf>
    <xf numFmtId="0" fontId="4" fillId="2" borderId="2" xfId="1" applyFill="1" applyBorder="1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Fill="1"/>
    <xf numFmtId="167" fontId="0" fillId="0" borderId="0" xfId="0" applyNumberForma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13</xdr:row>
          <xdr:rowOff>0</xdr:rowOff>
        </xdr:from>
        <xdr:to>
          <xdr:col>2</xdr:col>
          <xdr:colOff>0</xdr:colOff>
          <xdr:row>15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cs-CZ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Aktualizovať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13</xdr:row>
          <xdr:rowOff>0</xdr:rowOff>
        </xdr:from>
        <xdr:to>
          <xdr:col>2</xdr:col>
          <xdr:colOff>3048000</xdr:colOff>
          <xdr:row>15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cs-CZ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Uložiť s novým dátumom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3048000</xdr:colOff>
          <xdr:row>13</xdr:row>
          <xdr:rowOff>0</xdr:rowOff>
        </xdr:from>
        <xdr:to>
          <xdr:col>2</xdr:col>
          <xdr:colOff>6096000</xdr:colOff>
          <xdr:row>15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cs-CZ" sz="1100" b="0" i="0" u="none" strike="sngStrike" baseline="0">
                  <a:solidFill>
                    <a:srgbClr val="969696"/>
                  </a:solidFill>
                  <a:latin typeface="Calibri"/>
                  <a:ea typeface="Calibri"/>
                  <a:cs typeface="Calibri"/>
                </a:rPr>
                <a:t>Odoslať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Nakup%20_%20NEW\01_Pricing\001_FWD_SPP-CZ_KAM_Aktu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Forward"/>
      <sheetName val="001_FWD_SPP-CZ_KAM_Aktual"/>
    </sheetNames>
    <definedNames>
      <definedName name="Refresh"/>
      <definedName name="Save"/>
    </definedNames>
    <sheetDataSet>
      <sheetData sheetId="0"/>
      <sheetData sheetId="1">
        <row r="2">
          <cell r="C2">
            <v>46058.408645833333</v>
          </cell>
        </row>
        <row r="6">
          <cell r="B6">
            <v>46023</v>
          </cell>
          <cell r="C6">
            <v>36.018999999999998</v>
          </cell>
          <cell r="D6">
            <v>24.278099999999998</v>
          </cell>
        </row>
        <row r="7">
          <cell r="B7">
            <v>46054</v>
          </cell>
          <cell r="C7">
            <v>36.966678571428567</v>
          </cell>
          <cell r="D7">
            <v>24.350319529793001</v>
          </cell>
        </row>
        <row r="8">
          <cell r="B8">
            <v>46082</v>
          </cell>
          <cell r="C8">
            <v>35.575000000000003</v>
          </cell>
          <cell r="D8">
            <v>24.37368669549285</v>
          </cell>
        </row>
        <row r="9">
          <cell r="B9">
            <v>46113</v>
          </cell>
          <cell r="C9">
            <v>33.107999999999997</v>
          </cell>
          <cell r="D9">
            <v>24.399158986582549</v>
          </cell>
        </row>
        <row r="10">
          <cell r="B10">
            <v>46143</v>
          </cell>
          <cell r="C10">
            <v>31.669</v>
          </cell>
          <cell r="D10">
            <v>24.423926155988447</v>
          </cell>
        </row>
        <row r="11">
          <cell r="B11">
            <v>46174</v>
          </cell>
          <cell r="C11">
            <v>31.161000000000001</v>
          </cell>
          <cell r="D11">
            <v>24.448251632532802</v>
          </cell>
        </row>
        <row r="12">
          <cell r="B12">
            <v>46204</v>
          </cell>
          <cell r="C12">
            <v>31.327000000000002</v>
          </cell>
          <cell r="D12">
            <v>24.469755669019499</v>
          </cell>
        </row>
        <row r="13">
          <cell r="B13">
            <v>46235</v>
          </cell>
          <cell r="C13">
            <v>31.137</v>
          </cell>
          <cell r="D13">
            <v>24.493253772238901</v>
          </cell>
        </row>
        <row r="14">
          <cell r="B14">
            <v>46266</v>
          </cell>
          <cell r="C14">
            <v>31.690999999999999</v>
          </cell>
          <cell r="D14">
            <v>24.51330524998345</v>
          </cell>
        </row>
        <row r="15">
          <cell r="B15">
            <v>46296</v>
          </cell>
          <cell r="C15">
            <v>31.544</v>
          </cell>
          <cell r="D15">
            <v>24.535489962993502</v>
          </cell>
        </row>
        <row r="16">
          <cell r="B16">
            <v>46327</v>
          </cell>
          <cell r="C16">
            <v>32.377000000000002</v>
          </cell>
          <cell r="D16">
            <v>24.55383164520655</v>
          </cell>
        </row>
        <row r="17">
          <cell r="B17">
            <v>46357</v>
          </cell>
          <cell r="C17">
            <v>32.738</v>
          </cell>
          <cell r="D17">
            <v>24.570494386222649</v>
          </cell>
        </row>
        <row r="18">
          <cell r="B18">
            <v>46388</v>
          </cell>
          <cell r="C18">
            <v>32.550519786898306</v>
          </cell>
          <cell r="D18">
            <v>24.588999931751097</v>
          </cell>
        </row>
        <row r="19">
          <cell r="B19">
            <v>46419</v>
          </cell>
          <cell r="C19">
            <v>32.422661771368759</v>
          </cell>
          <cell r="D19">
            <v>24.60401986424035</v>
          </cell>
        </row>
        <row r="20">
          <cell r="B20">
            <v>46447</v>
          </cell>
          <cell r="C20">
            <v>31.59158467042667</v>
          </cell>
          <cell r="D20">
            <v>24.6208737095318</v>
          </cell>
        </row>
        <row r="21">
          <cell r="B21">
            <v>46478</v>
          </cell>
          <cell r="C21">
            <v>28.239573696626938</v>
          </cell>
          <cell r="D21">
            <v>24.64023014806725</v>
          </cell>
        </row>
        <row r="22">
          <cell r="B22">
            <v>46508</v>
          </cell>
          <cell r="C22">
            <v>27.01426771446873</v>
          </cell>
          <cell r="D22">
            <v>24.657698520947001</v>
          </cell>
        </row>
        <row r="23">
          <cell r="B23">
            <v>46539</v>
          </cell>
          <cell r="C23">
            <v>26.64667591982127</v>
          </cell>
          <cell r="D23">
            <v>24.6691474351978</v>
          </cell>
        </row>
        <row r="24">
          <cell r="B24">
            <v>46569</v>
          </cell>
          <cell r="C24">
            <v>26.694622675644851</v>
          </cell>
          <cell r="D24">
            <v>24.680966325081901</v>
          </cell>
        </row>
        <row r="25">
          <cell r="B25">
            <v>46600</v>
          </cell>
          <cell r="C25">
            <v>26.71593234489978</v>
          </cell>
          <cell r="D25">
            <v>24.698817484146801</v>
          </cell>
        </row>
        <row r="26">
          <cell r="B26">
            <v>46631</v>
          </cell>
          <cell r="C26">
            <v>26.854445195056794</v>
          </cell>
          <cell r="D26">
            <v>24.726420888671701</v>
          </cell>
        </row>
        <row r="27">
          <cell r="B27">
            <v>46661</v>
          </cell>
          <cell r="C27">
            <v>26.854445195056794</v>
          </cell>
          <cell r="D27">
            <v>24.754029348428102</v>
          </cell>
        </row>
        <row r="28">
          <cell r="B28">
            <v>46692</v>
          </cell>
          <cell r="C28">
            <v>27.437264649178999</v>
          </cell>
          <cell r="D28">
            <v>24.777600011112497</v>
          </cell>
        </row>
        <row r="29">
          <cell r="B29">
            <v>46722</v>
          </cell>
          <cell r="C29">
            <v>27.970006380552128</v>
          </cell>
          <cell r="D29">
            <v>24.783919908332599</v>
          </cell>
        </row>
        <row r="30">
          <cell r="B30">
            <v>46753</v>
          </cell>
          <cell r="C30">
            <v>28.649921671352363</v>
          </cell>
          <cell r="D30">
            <v>24.791035305454649</v>
          </cell>
        </row>
        <row r="31">
          <cell r="B31">
            <v>46784</v>
          </cell>
          <cell r="C31">
            <v>28.602496948673025</v>
          </cell>
          <cell r="D31">
            <v>24.799902323840598</v>
          </cell>
        </row>
        <row r="32">
          <cell r="B32">
            <v>46813</v>
          </cell>
          <cell r="C32">
            <v>27.853401897260742</v>
          </cell>
          <cell r="D32">
            <v>24.816949874433952</v>
          </cell>
        </row>
        <row r="33">
          <cell r="B33">
            <v>46844</v>
          </cell>
          <cell r="C33">
            <v>24.81821964578306</v>
          </cell>
          <cell r="D33">
            <v>24.836921307396452</v>
          </cell>
        </row>
        <row r="34">
          <cell r="B34">
            <v>46874</v>
          </cell>
          <cell r="C34">
            <v>23.858946846132795</v>
          </cell>
          <cell r="D34">
            <v>24.852769171639849</v>
          </cell>
        </row>
        <row r="35">
          <cell r="B35">
            <v>46905</v>
          </cell>
          <cell r="C35">
            <v>23.794276769751882</v>
          </cell>
          <cell r="D35">
            <v>24.870951982382998</v>
          </cell>
        </row>
        <row r="36">
          <cell r="B36">
            <v>46935</v>
          </cell>
          <cell r="C36">
            <v>23.363142927212436</v>
          </cell>
          <cell r="D36">
            <v>24.889706887886447</v>
          </cell>
        </row>
        <row r="37">
          <cell r="B37">
            <v>46966</v>
          </cell>
          <cell r="C37">
            <v>23.584099021513904</v>
          </cell>
          <cell r="D37">
            <v>24.906690843585501</v>
          </cell>
        </row>
        <row r="38">
          <cell r="B38">
            <v>46997</v>
          </cell>
          <cell r="C38">
            <v>24.005532352596209</v>
          </cell>
          <cell r="D38">
            <v>24.924832777015347</v>
          </cell>
        </row>
        <row r="39">
          <cell r="B39">
            <v>47027</v>
          </cell>
          <cell r="C39">
            <v>24.188764235675471</v>
          </cell>
          <cell r="D39">
            <v>24.942960936567999</v>
          </cell>
        </row>
        <row r="40">
          <cell r="B40">
            <v>47058</v>
          </cell>
          <cell r="C40">
            <v>25.061810266817844</v>
          </cell>
          <cell r="D40">
            <v>24.960491202214449</v>
          </cell>
        </row>
        <row r="41">
          <cell r="B41">
            <v>47088</v>
          </cell>
          <cell r="C41">
            <v>25.471387417230321</v>
          </cell>
          <cell r="D41">
            <v>24.978008568287947</v>
          </cell>
        </row>
        <row r="42">
          <cell r="B42">
            <v>47119</v>
          </cell>
          <cell r="C42">
            <v>25.702626876425164</v>
          </cell>
          <cell r="D42">
            <v>24.996679540570501</v>
          </cell>
        </row>
        <row r="43">
          <cell r="B43">
            <v>47150</v>
          </cell>
          <cell r="C43">
            <v>25.897803759556975</v>
          </cell>
          <cell r="D43">
            <v>25.014109600940003</v>
          </cell>
        </row>
        <row r="44">
          <cell r="B44">
            <v>47178</v>
          </cell>
          <cell r="C44">
            <v>25.50202841320635</v>
          </cell>
          <cell r="D44">
            <v>25.030234055395653</v>
          </cell>
        </row>
        <row r="45">
          <cell r="B45">
            <v>47209</v>
          </cell>
          <cell r="C45">
            <v>23.217374564546724</v>
          </cell>
          <cell r="D45">
            <v>25.048648449850099</v>
          </cell>
        </row>
        <row r="46">
          <cell r="B46">
            <v>47239</v>
          </cell>
          <cell r="C46">
            <v>22.626422335064287</v>
          </cell>
          <cell r="D46">
            <v>25.065324007255597</v>
          </cell>
        </row>
        <row r="47">
          <cell r="B47">
            <v>47270</v>
          </cell>
          <cell r="C47">
            <v>22.05173484584283</v>
          </cell>
          <cell r="D47">
            <v>25.083136473154699</v>
          </cell>
        </row>
        <row r="48">
          <cell r="B48">
            <v>47300</v>
          </cell>
          <cell r="C48">
            <v>21.970411144537909</v>
          </cell>
          <cell r="D48">
            <v>25.100935371440798</v>
          </cell>
        </row>
        <row r="49">
          <cell r="B49">
            <v>47331</v>
          </cell>
          <cell r="C49">
            <v>22.25233330906164</v>
          </cell>
          <cell r="D49">
            <v>25.118147193542899</v>
          </cell>
        </row>
        <row r="50">
          <cell r="B50">
            <v>47362</v>
          </cell>
          <cell r="C50">
            <v>22.761961837239159</v>
          </cell>
          <cell r="D50">
            <v>25.137065521961649</v>
          </cell>
        </row>
        <row r="51">
          <cell r="B51">
            <v>47392</v>
          </cell>
          <cell r="C51">
            <v>23.217374564546724</v>
          </cell>
          <cell r="D51">
            <v>25.153105380020548</v>
          </cell>
        </row>
        <row r="52">
          <cell r="B52">
            <v>47423</v>
          </cell>
          <cell r="C52">
            <v>23.683630452028282</v>
          </cell>
          <cell r="D52">
            <v>25.17085088318435</v>
          </cell>
        </row>
        <row r="53">
          <cell r="B53">
            <v>47453</v>
          </cell>
          <cell r="C53">
            <v>24.05229789794393</v>
          </cell>
          <cell r="D53">
            <v>25.189154590764602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hyperlink" Target="../../../../../daniel/AppData/Local/Microsoft/Windows/INetCache/Content.Outlook/HV2K28LL/" TargetMode="External"/><Relationship Id="rId1" Type="http://schemas.openxmlformats.org/officeDocument/2006/relationships/hyperlink" Target="file:///\\spp.sk\shared\BA\Averages\SPOT\2024\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3AC4-37B6-4ECE-BE39-542BE3368935}">
  <sheetPr codeName="Hárok1"/>
  <dimension ref="B1:M13"/>
  <sheetViews>
    <sheetView showGridLines="0" workbookViewId="0"/>
  </sheetViews>
  <sheetFormatPr defaultRowHeight="14.4" x14ac:dyDescent="0.3"/>
  <cols>
    <col min="2" max="2" width="45.77734375" bestFit="1" customWidth="1"/>
    <col min="3" max="3" width="91.5546875" customWidth="1"/>
    <col min="4" max="4" width="9.44140625" bestFit="1" customWidth="1"/>
    <col min="7" max="7" width="14.21875" bestFit="1" customWidth="1"/>
    <col min="9" max="10" width="14" bestFit="1" customWidth="1"/>
    <col min="13" max="13" width="10.77734375" bestFit="1" customWidth="1"/>
  </cols>
  <sheetData>
    <row r="1" spans="2:13" ht="18" x14ac:dyDescent="0.35">
      <c r="B1" s="1" t="s">
        <v>0</v>
      </c>
    </row>
    <row r="2" spans="2:13" ht="20.25" customHeight="1" x14ac:dyDescent="0.3"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L2" s="3">
        <v>1</v>
      </c>
      <c r="M2" s="3" t="s">
        <v>7</v>
      </c>
    </row>
    <row r="3" spans="2:13" x14ac:dyDescent="0.3">
      <c r="B3" s="4" t="s">
        <v>8</v>
      </c>
      <c r="C3" s="5">
        <f ca="1">TODAY()</f>
        <v>46058</v>
      </c>
      <c r="E3" s="3">
        <f ca="1">YEAR(C3)</f>
        <v>2026</v>
      </c>
      <c r="F3" s="3" t="str">
        <f ca="1">RIGHT(LEFT(C4,4),2)</f>
        <v>02</v>
      </c>
      <c r="G3" s="3" t="str">
        <f ca="1">F3&amp;"_"&amp;VLOOKUP(MONTH(C3),Settings!L2:M13,2)</f>
        <v>02_Februar</v>
      </c>
      <c r="H3" s="3" t="str">
        <f ca="1">RIGHT(C4,2)</f>
        <v>05</v>
      </c>
      <c r="I3" s="3" t="str">
        <f ca="1">F3&amp;"_"&amp;H3&amp;"_"&amp;E3</f>
        <v>02_05_2026</v>
      </c>
      <c r="J3" s="3" t="str">
        <f ca="1">E3&amp;"_"&amp;F3&amp;"_"&amp;H3</f>
        <v>2026_02_05</v>
      </c>
      <c r="L3" s="3">
        <v>2</v>
      </c>
      <c r="M3" s="3" t="s">
        <v>9</v>
      </c>
    </row>
    <row r="4" spans="2:13" x14ac:dyDescent="0.3">
      <c r="B4" s="4" t="s">
        <v>10</v>
      </c>
      <c r="C4" s="6" t="str">
        <f ca="1">_xlfn.CONCAT(RIGHT(YEAR(C3),2),TEXT(C3,"mm"),TEXT(C3,"dd"))</f>
        <v>260205</v>
      </c>
      <c r="D4" s="7"/>
      <c r="L4" s="3">
        <v>3</v>
      </c>
      <c r="M4" s="3" t="s">
        <v>11</v>
      </c>
    </row>
    <row r="5" spans="2:13" x14ac:dyDescent="0.3">
      <c r="B5" s="4" t="s">
        <v>12</v>
      </c>
      <c r="C5" s="8" t="e">
        <f>#REF!</f>
        <v>#REF!</v>
      </c>
      <c r="L5" s="3">
        <v>4</v>
      </c>
      <c r="M5" s="3" t="s">
        <v>13</v>
      </c>
    </row>
    <row r="6" spans="2:13" x14ac:dyDescent="0.3">
      <c r="L6" s="3">
        <v>5</v>
      </c>
      <c r="M6" s="3" t="s">
        <v>14</v>
      </c>
    </row>
    <row r="7" spans="2:13" x14ac:dyDescent="0.3">
      <c r="B7" s="4" t="s">
        <v>15</v>
      </c>
      <c r="C7" s="9" t="str">
        <f ca="1">"\\Hqs0338\s_ba\OPR\SPO\Trading analyses\Kalkulacka data\"&amp;E3&amp;"\"&amp;G3&amp;"\"&amp;I3&amp;"\"</f>
        <v>\\Hqs0338\s_ba\OPR\SPO\Trading analyses\Kalkulacka data\2026\02_Februar\02_05_2026\</v>
      </c>
      <c r="L7" s="3">
        <v>6</v>
      </c>
      <c r="M7" s="3" t="s">
        <v>16</v>
      </c>
    </row>
    <row r="8" spans="2:13" x14ac:dyDescent="0.3">
      <c r="B8" s="4" t="s">
        <v>17</v>
      </c>
      <c r="C8" t="s">
        <v>18</v>
      </c>
      <c r="L8" s="3">
        <v>7</v>
      </c>
      <c r="M8" s="3" t="s">
        <v>19</v>
      </c>
    </row>
    <row r="9" spans="2:13" x14ac:dyDescent="0.3">
      <c r="L9" s="3">
        <v>8</v>
      </c>
      <c r="M9" s="3" t="s">
        <v>20</v>
      </c>
    </row>
    <row r="10" spans="2:13" x14ac:dyDescent="0.3">
      <c r="B10" s="4" t="s">
        <v>21</v>
      </c>
      <c r="C10" s="9" t="s">
        <v>22</v>
      </c>
      <c r="L10" s="3">
        <v>9</v>
      </c>
      <c r="M10" s="3" t="s">
        <v>23</v>
      </c>
    </row>
    <row r="11" spans="2:13" x14ac:dyDescent="0.3">
      <c r="L11" s="3">
        <v>10</v>
      </c>
      <c r="M11" s="3" t="s">
        <v>24</v>
      </c>
    </row>
    <row r="12" spans="2:13" x14ac:dyDescent="0.3">
      <c r="L12" s="3">
        <v>11</v>
      </c>
      <c r="M12" s="3" t="s">
        <v>25</v>
      </c>
    </row>
    <row r="13" spans="2:13" x14ac:dyDescent="0.3">
      <c r="L13" s="3">
        <v>12</v>
      </c>
      <c r="M13" s="3" t="s">
        <v>26</v>
      </c>
    </row>
  </sheetData>
  <hyperlinks>
    <hyperlink ref="C7" r:id="rId1" display="\\spp.sk\shared\BA\Averages\SPOT\2024\" xr:uid="{6BD32078-438A-4293-9CD0-883D7D72AB86}"/>
    <hyperlink ref="C10" r:id="rId2" xr:uid="{5FC9E249-0C96-41C3-8728-B9D7EEFE7A77}"/>
  </hyperlinks>
  <pageMargins left="0.7" right="0.7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Button 1">
              <controlPr defaultSize="0" print="0" autoFill="0" autoPict="0" macro="[1]!Refresh">
                <anchor moveWithCells="1" siz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2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7" name="Button 2">
              <controlPr defaultSize="0" print="0" autoFill="0" autoPict="0" macro="[1]!Save">
                <anchor moveWithCells="1" siz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2</xdr:col>
                    <xdr:colOff>3048000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8" name="Button 3">
              <controlPr defaultSize="0" print="0" autoFill="0" autoPict="0">
                <anchor moveWithCells="1" sizeWithCells="1">
                  <from>
                    <xdr:col>2</xdr:col>
                    <xdr:colOff>3048000</xdr:colOff>
                    <xdr:row>13</xdr:row>
                    <xdr:rowOff>0</xdr:rowOff>
                  </from>
                  <to>
                    <xdr:col>2</xdr:col>
                    <xdr:colOff>6096000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9F17-8CF6-45EE-B1FE-0E8323E4586A}">
  <dimension ref="A1:D49"/>
  <sheetViews>
    <sheetView tabSelected="1" workbookViewId="0">
      <selection activeCell="I46" sqref="I46"/>
    </sheetView>
  </sheetViews>
  <sheetFormatPr defaultRowHeight="14.4" x14ac:dyDescent="0.3"/>
  <cols>
    <col min="1" max="2" width="10.109375" bestFit="1" customWidth="1"/>
    <col min="4" max="4" width="20.109375" customWidth="1"/>
  </cols>
  <sheetData>
    <row r="1" spans="1:4" x14ac:dyDescent="0.3">
      <c r="A1" t="s">
        <v>30</v>
      </c>
      <c r="B1" t="s">
        <v>29</v>
      </c>
      <c r="C1" t="s">
        <v>27</v>
      </c>
      <c r="D1" t="s">
        <v>28</v>
      </c>
    </row>
    <row r="2" spans="1:4" x14ac:dyDescent="0.3">
      <c r="A2" s="10">
        <f>'Propojeni na FWD v Pricingu'!A2</f>
        <v>46058.408645833333</v>
      </c>
      <c r="B2" s="10">
        <v>46023</v>
      </c>
      <c r="C2">
        <f>'Propojeni na FWD v Pricingu'!C2</f>
        <v>36.018999999999998</v>
      </c>
      <c r="D2" s="15">
        <f>'Propojeni na FWD v Pricingu'!D2</f>
        <v>24.278099999999998</v>
      </c>
    </row>
    <row r="3" spans="1:4" x14ac:dyDescent="0.3">
      <c r="A3" s="10">
        <f>'Propojeni na FWD v Pricingu'!A3</f>
        <v>46058.408645833333</v>
      </c>
      <c r="B3" s="10">
        <v>46054</v>
      </c>
      <c r="C3">
        <f>'Propojeni na FWD v Pricingu'!C3</f>
        <v>36.966678571428567</v>
      </c>
      <c r="D3" s="15">
        <f>'Propojeni na FWD v Pricingu'!D3</f>
        <v>24.350319529793001</v>
      </c>
    </row>
    <row r="4" spans="1:4" x14ac:dyDescent="0.3">
      <c r="A4" s="10">
        <f>'Propojeni na FWD v Pricingu'!A4</f>
        <v>46058.408645833333</v>
      </c>
      <c r="B4" s="10">
        <v>46082</v>
      </c>
      <c r="C4">
        <f>'Propojeni na FWD v Pricingu'!C4</f>
        <v>35.575000000000003</v>
      </c>
      <c r="D4" s="15">
        <f>'Propojeni na FWD v Pricingu'!D4</f>
        <v>24.37368669549285</v>
      </c>
    </row>
    <row r="5" spans="1:4" x14ac:dyDescent="0.3">
      <c r="A5" s="10">
        <f>'Propojeni na FWD v Pricingu'!A5</f>
        <v>46058.408645833333</v>
      </c>
      <c r="B5" s="10">
        <v>46113</v>
      </c>
      <c r="C5">
        <f>'Propojeni na FWD v Pricingu'!C5</f>
        <v>33.107999999999997</v>
      </c>
      <c r="D5" s="15">
        <f>'Propojeni na FWD v Pricingu'!D5</f>
        <v>24.399158986582549</v>
      </c>
    </row>
    <row r="6" spans="1:4" x14ac:dyDescent="0.3">
      <c r="A6" s="10">
        <f>'Propojeni na FWD v Pricingu'!A6</f>
        <v>46058.408645833333</v>
      </c>
      <c r="B6" s="10">
        <v>46143</v>
      </c>
      <c r="C6">
        <f>'Propojeni na FWD v Pricingu'!C6</f>
        <v>31.669</v>
      </c>
      <c r="D6" s="15">
        <f>'Propojeni na FWD v Pricingu'!D6</f>
        <v>24.423926155988447</v>
      </c>
    </row>
    <row r="7" spans="1:4" x14ac:dyDescent="0.3">
      <c r="A7" s="10">
        <f>'Propojeni na FWD v Pricingu'!A7</f>
        <v>46058.408645833333</v>
      </c>
      <c r="B7" s="10">
        <v>46174</v>
      </c>
      <c r="C7">
        <f>'Propojeni na FWD v Pricingu'!C7</f>
        <v>31.161000000000001</v>
      </c>
      <c r="D7" s="15">
        <f>'Propojeni na FWD v Pricingu'!D7</f>
        <v>24.448251632532802</v>
      </c>
    </row>
    <row r="8" spans="1:4" x14ac:dyDescent="0.3">
      <c r="A8" s="10">
        <f>'Propojeni na FWD v Pricingu'!A8</f>
        <v>46058.408645833333</v>
      </c>
      <c r="B8" s="10">
        <v>46204</v>
      </c>
      <c r="C8">
        <f>'Propojeni na FWD v Pricingu'!C8</f>
        <v>31.327000000000002</v>
      </c>
      <c r="D8" s="15">
        <f>'Propojeni na FWD v Pricingu'!D8</f>
        <v>24.469755669019499</v>
      </c>
    </row>
    <row r="9" spans="1:4" x14ac:dyDescent="0.3">
      <c r="A9" s="10">
        <f>'Propojeni na FWD v Pricingu'!A9</f>
        <v>46058.408645833333</v>
      </c>
      <c r="B9" s="10">
        <v>46235</v>
      </c>
      <c r="C9">
        <f>'Propojeni na FWD v Pricingu'!C9</f>
        <v>31.137</v>
      </c>
      <c r="D9" s="15">
        <f>'Propojeni na FWD v Pricingu'!D9</f>
        <v>24.493253772238901</v>
      </c>
    </row>
    <row r="10" spans="1:4" x14ac:dyDescent="0.3">
      <c r="A10" s="10">
        <f>'Propojeni na FWD v Pricingu'!A10</f>
        <v>46058.408645833333</v>
      </c>
      <c r="B10" s="10">
        <v>46266</v>
      </c>
      <c r="C10">
        <f>'Propojeni na FWD v Pricingu'!C10</f>
        <v>31.690999999999999</v>
      </c>
      <c r="D10" s="15">
        <f>'Propojeni na FWD v Pricingu'!D10</f>
        <v>24.51330524998345</v>
      </c>
    </row>
    <row r="11" spans="1:4" x14ac:dyDescent="0.3">
      <c r="A11" s="10">
        <f>'Propojeni na FWD v Pricingu'!A11</f>
        <v>46058.408645833333</v>
      </c>
      <c r="B11" s="10">
        <v>46296</v>
      </c>
      <c r="C11">
        <f>'Propojeni na FWD v Pricingu'!C11</f>
        <v>31.544</v>
      </c>
      <c r="D11" s="15">
        <f>'Propojeni na FWD v Pricingu'!D11</f>
        <v>24.535489962993502</v>
      </c>
    </row>
    <row r="12" spans="1:4" x14ac:dyDescent="0.3">
      <c r="A12" s="10">
        <f>'Propojeni na FWD v Pricingu'!A12</f>
        <v>46058.408645833333</v>
      </c>
      <c r="B12" s="10">
        <v>46327</v>
      </c>
      <c r="C12">
        <f>'Propojeni na FWD v Pricingu'!C12</f>
        <v>32.377000000000002</v>
      </c>
      <c r="D12" s="15">
        <f>'Propojeni na FWD v Pricingu'!D12</f>
        <v>24.55383164520655</v>
      </c>
    </row>
    <row r="13" spans="1:4" x14ac:dyDescent="0.3">
      <c r="A13" s="10">
        <f>'Propojeni na FWD v Pricingu'!A13</f>
        <v>46058.408645833333</v>
      </c>
      <c r="B13" s="10">
        <v>46357</v>
      </c>
      <c r="C13">
        <f>'Propojeni na FWD v Pricingu'!C13</f>
        <v>32.738</v>
      </c>
      <c r="D13" s="15">
        <f>'Propojeni na FWD v Pricingu'!D13</f>
        <v>24.570494386222649</v>
      </c>
    </row>
    <row r="14" spans="1:4" x14ac:dyDescent="0.3">
      <c r="A14" s="10">
        <f>'Propojeni na FWD v Pricingu'!A14</f>
        <v>46058.408645833333</v>
      </c>
      <c r="B14" s="10">
        <v>46388</v>
      </c>
      <c r="C14">
        <f>'Propojeni na FWD v Pricingu'!C14</f>
        <v>32.550519786898306</v>
      </c>
      <c r="D14" s="15">
        <f>'Propojeni na FWD v Pricingu'!D14</f>
        <v>24.588999931751097</v>
      </c>
    </row>
    <row r="15" spans="1:4" x14ac:dyDescent="0.3">
      <c r="A15" s="10">
        <f>'Propojeni na FWD v Pricingu'!A15</f>
        <v>46058.408645833333</v>
      </c>
      <c r="B15" s="10">
        <v>46419</v>
      </c>
      <c r="C15">
        <f>'Propojeni na FWD v Pricingu'!C15</f>
        <v>32.422661771368759</v>
      </c>
      <c r="D15" s="15">
        <f>'Propojeni na FWD v Pricingu'!D15</f>
        <v>24.60401986424035</v>
      </c>
    </row>
    <row r="16" spans="1:4" x14ac:dyDescent="0.3">
      <c r="A16" s="10">
        <f>'Propojeni na FWD v Pricingu'!A16</f>
        <v>46058.408645833333</v>
      </c>
      <c r="B16" s="10">
        <v>46447</v>
      </c>
      <c r="C16">
        <f>'Propojeni na FWD v Pricingu'!C16</f>
        <v>31.59158467042667</v>
      </c>
      <c r="D16" s="15">
        <f>'Propojeni na FWD v Pricingu'!D16</f>
        <v>24.6208737095318</v>
      </c>
    </row>
    <row r="17" spans="1:4" x14ac:dyDescent="0.3">
      <c r="A17" s="10">
        <f>'Propojeni na FWD v Pricingu'!A17</f>
        <v>46058.408645833333</v>
      </c>
      <c r="B17" s="10">
        <v>46478</v>
      </c>
      <c r="C17">
        <f>'Propojeni na FWD v Pricingu'!C17</f>
        <v>28.239573696626938</v>
      </c>
      <c r="D17" s="15">
        <f>'Propojeni na FWD v Pricingu'!D17</f>
        <v>24.64023014806725</v>
      </c>
    </row>
    <row r="18" spans="1:4" x14ac:dyDescent="0.3">
      <c r="A18" s="10">
        <f>'Propojeni na FWD v Pricingu'!A18</f>
        <v>46058.408645833333</v>
      </c>
      <c r="B18" s="10">
        <v>46508</v>
      </c>
      <c r="C18">
        <f>'Propojeni na FWD v Pricingu'!C18</f>
        <v>27.01426771446873</v>
      </c>
      <c r="D18" s="15">
        <f>'Propojeni na FWD v Pricingu'!D18</f>
        <v>24.657698520947001</v>
      </c>
    </row>
    <row r="19" spans="1:4" x14ac:dyDescent="0.3">
      <c r="A19" s="10">
        <f>'Propojeni na FWD v Pricingu'!A19</f>
        <v>46058.408645833333</v>
      </c>
      <c r="B19" s="10">
        <v>46539</v>
      </c>
      <c r="C19">
        <f>'Propojeni na FWD v Pricingu'!C19</f>
        <v>26.64667591982127</v>
      </c>
      <c r="D19" s="15">
        <f>'Propojeni na FWD v Pricingu'!D19</f>
        <v>24.6691474351978</v>
      </c>
    </row>
    <row r="20" spans="1:4" x14ac:dyDescent="0.3">
      <c r="A20" s="10">
        <f>'Propojeni na FWD v Pricingu'!A20</f>
        <v>46058.408645833333</v>
      </c>
      <c r="B20" s="10">
        <v>46569</v>
      </c>
      <c r="C20">
        <f>'Propojeni na FWD v Pricingu'!C20</f>
        <v>26.694622675644851</v>
      </c>
      <c r="D20" s="15">
        <f>'Propojeni na FWD v Pricingu'!D20</f>
        <v>24.680966325081901</v>
      </c>
    </row>
    <row r="21" spans="1:4" x14ac:dyDescent="0.3">
      <c r="A21" s="10">
        <f>'Propojeni na FWD v Pricingu'!A21</f>
        <v>46058.408645833333</v>
      </c>
      <c r="B21" s="10">
        <v>46600</v>
      </c>
      <c r="C21">
        <f>'Propojeni na FWD v Pricingu'!C21</f>
        <v>26.71593234489978</v>
      </c>
      <c r="D21" s="15">
        <f>'Propojeni na FWD v Pricingu'!D21</f>
        <v>24.698817484146801</v>
      </c>
    </row>
    <row r="22" spans="1:4" x14ac:dyDescent="0.3">
      <c r="A22" s="10">
        <f>'Propojeni na FWD v Pricingu'!A22</f>
        <v>46058.408645833333</v>
      </c>
      <c r="B22" s="10">
        <v>46631</v>
      </c>
      <c r="C22">
        <f>'Propojeni na FWD v Pricingu'!C22</f>
        <v>26.854445195056794</v>
      </c>
      <c r="D22" s="15">
        <f>'Propojeni na FWD v Pricingu'!D22</f>
        <v>24.726420888671701</v>
      </c>
    </row>
    <row r="23" spans="1:4" x14ac:dyDescent="0.3">
      <c r="A23" s="10">
        <f>'Propojeni na FWD v Pricingu'!A23</f>
        <v>46058.408645833333</v>
      </c>
      <c r="B23" s="10">
        <v>46661</v>
      </c>
      <c r="C23">
        <f>'Propojeni na FWD v Pricingu'!C23</f>
        <v>26.854445195056794</v>
      </c>
      <c r="D23" s="15">
        <f>'Propojeni na FWD v Pricingu'!D23</f>
        <v>24.754029348428102</v>
      </c>
    </row>
    <row r="24" spans="1:4" x14ac:dyDescent="0.3">
      <c r="A24" s="10">
        <f>'Propojeni na FWD v Pricingu'!A24</f>
        <v>46058.408645833333</v>
      </c>
      <c r="B24" s="10">
        <v>46692</v>
      </c>
      <c r="C24">
        <f>'Propojeni na FWD v Pricingu'!C24</f>
        <v>27.437264649178999</v>
      </c>
      <c r="D24" s="15">
        <f>'Propojeni na FWD v Pricingu'!D24</f>
        <v>24.777600011112497</v>
      </c>
    </row>
    <row r="25" spans="1:4" x14ac:dyDescent="0.3">
      <c r="A25" s="10">
        <f>'Propojeni na FWD v Pricingu'!A25</f>
        <v>46058.408645833333</v>
      </c>
      <c r="B25" s="10">
        <v>46722</v>
      </c>
      <c r="C25">
        <f>'Propojeni na FWD v Pricingu'!C25</f>
        <v>27.970006380552128</v>
      </c>
      <c r="D25" s="15">
        <f>'Propojeni na FWD v Pricingu'!D25</f>
        <v>24.783919908332599</v>
      </c>
    </row>
    <row r="26" spans="1:4" x14ac:dyDescent="0.3">
      <c r="A26" s="10">
        <f>'Propojeni na FWD v Pricingu'!A26</f>
        <v>46058.408645833333</v>
      </c>
      <c r="B26" s="10">
        <v>46753</v>
      </c>
      <c r="C26">
        <f>'Propojeni na FWD v Pricingu'!C26</f>
        <v>28.649921671352363</v>
      </c>
      <c r="D26" s="15">
        <f>'Propojeni na FWD v Pricingu'!D26</f>
        <v>24.791035305454649</v>
      </c>
    </row>
    <row r="27" spans="1:4" x14ac:dyDescent="0.3">
      <c r="A27" s="10">
        <f>'Propojeni na FWD v Pricingu'!A27</f>
        <v>46058.408645833333</v>
      </c>
      <c r="B27" s="10">
        <v>46784</v>
      </c>
      <c r="C27">
        <f>'Propojeni na FWD v Pricingu'!C27</f>
        <v>28.602496948673025</v>
      </c>
      <c r="D27" s="15">
        <f>'Propojeni na FWD v Pricingu'!D27</f>
        <v>24.799902323840598</v>
      </c>
    </row>
    <row r="28" spans="1:4" x14ac:dyDescent="0.3">
      <c r="A28" s="10">
        <f>'Propojeni na FWD v Pricingu'!A28</f>
        <v>46058.408645833333</v>
      </c>
      <c r="B28" s="10">
        <v>46813</v>
      </c>
      <c r="C28">
        <f>'Propojeni na FWD v Pricingu'!C28</f>
        <v>27.853401897260742</v>
      </c>
      <c r="D28" s="15">
        <f>'Propojeni na FWD v Pricingu'!D28</f>
        <v>24.816949874433952</v>
      </c>
    </row>
    <row r="29" spans="1:4" x14ac:dyDescent="0.3">
      <c r="A29" s="10">
        <f>'Propojeni na FWD v Pricingu'!A29</f>
        <v>46058.408645833333</v>
      </c>
      <c r="B29" s="10">
        <v>46844</v>
      </c>
      <c r="C29">
        <f>'Propojeni na FWD v Pricingu'!C29</f>
        <v>24.81821964578306</v>
      </c>
      <c r="D29" s="15">
        <f>'Propojeni na FWD v Pricingu'!D29</f>
        <v>24.836921307396452</v>
      </c>
    </row>
    <row r="30" spans="1:4" x14ac:dyDescent="0.3">
      <c r="A30" s="10">
        <f>'Propojeni na FWD v Pricingu'!A30</f>
        <v>46058.408645833333</v>
      </c>
      <c r="B30" s="10">
        <v>46874</v>
      </c>
      <c r="C30">
        <f>'Propojeni na FWD v Pricingu'!C30</f>
        <v>23.858946846132795</v>
      </c>
      <c r="D30" s="15">
        <f>'Propojeni na FWD v Pricingu'!D30</f>
        <v>24.852769171639849</v>
      </c>
    </row>
    <row r="31" spans="1:4" x14ac:dyDescent="0.3">
      <c r="A31" s="10">
        <f>'Propojeni na FWD v Pricingu'!A31</f>
        <v>46058.408645833333</v>
      </c>
      <c r="B31" s="10">
        <v>46905</v>
      </c>
      <c r="C31">
        <f>'Propojeni na FWD v Pricingu'!C31</f>
        <v>23.794276769751882</v>
      </c>
      <c r="D31" s="15">
        <f>'Propojeni na FWD v Pricingu'!D31</f>
        <v>24.870951982382998</v>
      </c>
    </row>
    <row r="32" spans="1:4" x14ac:dyDescent="0.3">
      <c r="A32" s="10">
        <f>'Propojeni na FWD v Pricingu'!A32</f>
        <v>46058.408645833333</v>
      </c>
      <c r="B32" s="10">
        <v>46935</v>
      </c>
      <c r="C32">
        <f>'Propojeni na FWD v Pricingu'!C32</f>
        <v>23.363142927212436</v>
      </c>
      <c r="D32" s="15">
        <f>'Propojeni na FWD v Pricingu'!D32</f>
        <v>24.889706887886447</v>
      </c>
    </row>
    <row r="33" spans="1:4" x14ac:dyDescent="0.3">
      <c r="A33" s="10">
        <f>'Propojeni na FWD v Pricingu'!A33</f>
        <v>46058.408645833333</v>
      </c>
      <c r="B33" s="10">
        <v>46966</v>
      </c>
      <c r="C33">
        <f>'Propojeni na FWD v Pricingu'!C33</f>
        <v>23.584099021513904</v>
      </c>
      <c r="D33" s="15">
        <f>'Propojeni na FWD v Pricingu'!D33</f>
        <v>24.906690843585501</v>
      </c>
    </row>
    <row r="34" spans="1:4" x14ac:dyDescent="0.3">
      <c r="A34" s="10">
        <f>'Propojeni na FWD v Pricingu'!A34</f>
        <v>46058.408645833333</v>
      </c>
      <c r="B34" s="10">
        <v>46997</v>
      </c>
      <c r="C34">
        <f>'Propojeni na FWD v Pricingu'!C34</f>
        <v>24.005532352596209</v>
      </c>
      <c r="D34" s="15">
        <f>'Propojeni na FWD v Pricingu'!D34</f>
        <v>24.924832777015347</v>
      </c>
    </row>
    <row r="35" spans="1:4" x14ac:dyDescent="0.3">
      <c r="A35" s="10">
        <f>'Propojeni na FWD v Pricingu'!A35</f>
        <v>46058.408645833333</v>
      </c>
      <c r="B35" s="10">
        <v>47027</v>
      </c>
      <c r="C35">
        <f>'Propojeni na FWD v Pricingu'!C35</f>
        <v>24.188764235675471</v>
      </c>
      <c r="D35" s="15">
        <f>'Propojeni na FWD v Pricingu'!D35</f>
        <v>24.942960936567999</v>
      </c>
    </row>
    <row r="36" spans="1:4" x14ac:dyDescent="0.3">
      <c r="A36" s="10">
        <f>'Propojeni na FWD v Pricingu'!A36</f>
        <v>46058.408645833333</v>
      </c>
      <c r="B36" s="10">
        <v>47058</v>
      </c>
      <c r="C36">
        <f>'Propojeni na FWD v Pricingu'!C36</f>
        <v>25.061810266817844</v>
      </c>
      <c r="D36" s="15">
        <f>'Propojeni na FWD v Pricingu'!D36</f>
        <v>24.960491202214449</v>
      </c>
    </row>
    <row r="37" spans="1:4" x14ac:dyDescent="0.3">
      <c r="A37" s="10">
        <f>'Propojeni na FWD v Pricingu'!A37</f>
        <v>46058.408645833333</v>
      </c>
      <c r="B37" s="10">
        <v>47088</v>
      </c>
      <c r="C37">
        <f>'Propojeni na FWD v Pricingu'!C37</f>
        <v>25.471387417230321</v>
      </c>
      <c r="D37" s="15">
        <f>'Propojeni na FWD v Pricingu'!D37</f>
        <v>24.978008568287947</v>
      </c>
    </row>
    <row r="38" spans="1:4" x14ac:dyDescent="0.3">
      <c r="A38" s="10">
        <f>'Propojeni na FWD v Pricingu'!A38</f>
        <v>46058.408645833333</v>
      </c>
      <c r="B38" s="10">
        <v>47119</v>
      </c>
      <c r="C38">
        <f>'Propojeni na FWD v Pricingu'!C38</f>
        <v>25.702626876425164</v>
      </c>
      <c r="D38" s="15">
        <f>'Propojeni na FWD v Pricingu'!D38</f>
        <v>24.996679540570501</v>
      </c>
    </row>
    <row r="39" spans="1:4" x14ac:dyDescent="0.3">
      <c r="A39" s="10">
        <f>'Propojeni na FWD v Pricingu'!A39</f>
        <v>46058.408645833333</v>
      </c>
      <c r="B39" s="10">
        <v>47150</v>
      </c>
      <c r="C39">
        <f>'Propojeni na FWD v Pricingu'!C39</f>
        <v>25.897803759556975</v>
      </c>
      <c r="D39" s="15">
        <f>'Propojeni na FWD v Pricingu'!D39</f>
        <v>25.014109600940003</v>
      </c>
    </row>
    <row r="40" spans="1:4" x14ac:dyDescent="0.3">
      <c r="A40" s="10">
        <f>'Propojeni na FWD v Pricingu'!A40</f>
        <v>46058.408645833333</v>
      </c>
      <c r="B40" s="10">
        <v>47178</v>
      </c>
      <c r="C40">
        <f>'Propojeni na FWD v Pricingu'!C40</f>
        <v>25.50202841320635</v>
      </c>
      <c r="D40" s="15">
        <f>'Propojeni na FWD v Pricingu'!D40</f>
        <v>25.030234055395653</v>
      </c>
    </row>
    <row r="41" spans="1:4" x14ac:dyDescent="0.3">
      <c r="A41" s="10">
        <f>'Propojeni na FWD v Pricingu'!A41</f>
        <v>46058.408645833333</v>
      </c>
      <c r="B41" s="10">
        <v>47209</v>
      </c>
      <c r="C41">
        <f>'Propojeni na FWD v Pricingu'!C41</f>
        <v>23.217374564546724</v>
      </c>
      <c r="D41" s="15">
        <f>'Propojeni na FWD v Pricingu'!D41</f>
        <v>25.048648449850099</v>
      </c>
    </row>
    <row r="42" spans="1:4" x14ac:dyDescent="0.3">
      <c r="A42" s="10">
        <f>'Propojeni na FWD v Pricingu'!A42</f>
        <v>46058.408645833333</v>
      </c>
      <c r="B42" s="10">
        <v>47239</v>
      </c>
      <c r="C42">
        <f>'Propojeni na FWD v Pricingu'!C42</f>
        <v>22.626422335064287</v>
      </c>
      <c r="D42" s="15">
        <f>'Propojeni na FWD v Pricingu'!D42</f>
        <v>25.065324007255597</v>
      </c>
    </row>
    <row r="43" spans="1:4" x14ac:dyDescent="0.3">
      <c r="A43" s="10">
        <f>'Propojeni na FWD v Pricingu'!A43</f>
        <v>46058.408645833333</v>
      </c>
      <c r="B43" s="10">
        <v>47270</v>
      </c>
      <c r="C43">
        <f>'Propojeni na FWD v Pricingu'!C43</f>
        <v>22.05173484584283</v>
      </c>
      <c r="D43" s="15">
        <f>'Propojeni na FWD v Pricingu'!D43</f>
        <v>25.083136473154699</v>
      </c>
    </row>
    <row r="44" spans="1:4" x14ac:dyDescent="0.3">
      <c r="A44" s="10">
        <f>'Propojeni na FWD v Pricingu'!A44</f>
        <v>46058.408645833333</v>
      </c>
      <c r="B44" s="10">
        <v>47300</v>
      </c>
      <c r="C44">
        <f>'Propojeni na FWD v Pricingu'!C44</f>
        <v>21.970411144537909</v>
      </c>
      <c r="D44" s="15">
        <f>'Propojeni na FWD v Pricingu'!D44</f>
        <v>25.100935371440798</v>
      </c>
    </row>
    <row r="45" spans="1:4" x14ac:dyDescent="0.3">
      <c r="A45" s="10">
        <f>'Propojeni na FWD v Pricingu'!A45</f>
        <v>46058.408645833333</v>
      </c>
      <c r="B45" s="10">
        <v>47331</v>
      </c>
      <c r="C45">
        <f>'Propojeni na FWD v Pricingu'!C45</f>
        <v>22.25233330906164</v>
      </c>
      <c r="D45" s="15">
        <f>'Propojeni na FWD v Pricingu'!D45</f>
        <v>25.118147193542899</v>
      </c>
    </row>
    <row r="46" spans="1:4" x14ac:dyDescent="0.3">
      <c r="A46" s="10">
        <f>'Propojeni na FWD v Pricingu'!A46</f>
        <v>46058.408645833333</v>
      </c>
      <c r="B46" s="10">
        <v>47362</v>
      </c>
      <c r="C46">
        <f>'Propojeni na FWD v Pricingu'!C46</f>
        <v>22.761961837239159</v>
      </c>
      <c r="D46" s="15">
        <f>'Propojeni na FWD v Pricingu'!D46</f>
        <v>25.137065521961649</v>
      </c>
    </row>
    <row r="47" spans="1:4" x14ac:dyDescent="0.3">
      <c r="A47" s="10">
        <f>'Propojeni na FWD v Pricingu'!A47</f>
        <v>46058.408645833333</v>
      </c>
      <c r="B47" s="10">
        <v>47392</v>
      </c>
      <c r="C47">
        <f>'Propojeni na FWD v Pricingu'!C47</f>
        <v>23.217374564546724</v>
      </c>
      <c r="D47" s="15">
        <f>'Propojeni na FWD v Pricingu'!D47</f>
        <v>25.153105380020548</v>
      </c>
    </row>
    <row r="48" spans="1:4" x14ac:dyDescent="0.3">
      <c r="A48" s="10">
        <f>'Propojeni na FWD v Pricingu'!A48</f>
        <v>46058.408645833333</v>
      </c>
      <c r="B48" s="10">
        <v>47423</v>
      </c>
      <c r="C48">
        <f>'Propojeni na FWD v Pricingu'!C48</f>
        <v>23.683630452028282</v>
      </c>
      <c r="D48" s="15">
        <f>'Propojeni na FWD v Pricingu'!D48</f>
        <v>25.17085088318435</v>
      </c>
    </row>
    <row r="49" spans="1:4" x14ac:dyDescent="0.3">
      <c r="A49" s="10">
        <f>'Propojeni na FWD v Pricingu'!A49</f>
        <v>46058.408645833333</v>
      </c>
      <c r="B49" s="10">
        <v>47453</v>
      </c>
      <c r="C49">
        <f>'Propojeni na FWD v Pricingu'!C49</f>
        <v>24.05229789794393</v>
      </c>
      <c r="D49" s="15">
        <f>'Propojeni na FWD v Pricingu'!D49</f>
        <v>25.189154590764602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D55C-EC03-4CE6-9FB9-911EAB54D01C}">
  <dimension ref="A1:D49"/>
  <sheetViews>
    <sheetView workbookViewId="0">
      <selection activeCell="D49" sqref="D49"/>
    </sheetView>
  </sheetViews>
  <sheetFormatPr defaultRowHeight="14.4" x14ac:dyDescent="0.3"/>
  <cols>
    <col min="1" max="1" width="13.6640625" style="11" customWidth="1"/>
    <col min="2" max="2" width="14.77734375" style="11" customWidth="1"/>
    <col min="3" max="4" width="8.88671875" style="11"/>
  </cols>
  <sheetData>
    <row r="1" spans="1:4" x14ac:dyDescent="0.3">
      <c r="A1" s="11" t="s">
        <v>30</v>
      </c>
      <c r="B1" s="12" t="s">
        <v>29</v>
      </c>
      <c r="C1" s="11" t="s">
        <v>27</v>
      </c>
      <c r="D1" s="11" t="s">
        <v>28</v>
      </c>
    </row>
    <row r="2" spans="1:4" x14ac:dyDescent="0.3">
      <c r="A2" s="12">
        <f>[1]Forward!$C$2</f>
        <v>46058.408645833333</v>
      </c>
      <c r="B2" s="12">
        <f>[1]Forward!$B$6</f>
        <v>46023</v>
      </c>
      <c r="C2" s="13">
        <f>[1]Forward!C6</f>
        <v>36.018999999999998</v>
      </c>
      <c r="D2" s="14">
        <f>[1]Forward!D6</f>
        <v>24.278099999999998</v>
      </c>
    </row>
    <row r="3" spans="1:4" x14ac:dyDescent="0.3">
      <c r="A3" s="12">
        <f>[1]Forward!$C$2</f>
        <v>46058.408645833333</v>
      </c>
      <c r="B3" s="12">
        <f>[1]Forward!$B$7</f>
        <v>46054</v>
      </c>
      <c r="C3" s="13">
        <f>[1]Forward!C7</f>
        <v>36.966678571428567</v>
      </c>
      <c r="D3" s="14">
        <f>[1]Forward!D7</f>
        <v>24.350319529793001</v>
      </c>
    </row>
    <row r="4" spans="1:4" x14ac:dyDescent="0.3">
      <c r="A4" s="12">
        <f>[1]Forward!$C$2</f>
        <v>46058.408645833333</v>
      </c>
      <c r="B4" s="12">
        <f>[1]Forward!$B$8</f>
        <v>46082</v>
      </c>
      <c r="C4" s="13">
        <f>[1]Forward!C8</f>
        <v>35.575000000000003</v>
      </c>
      <c r="D4" s="14">
        <f>[1]Forward!D8</f>
        <v>24.37368669549285</v>
      </c>
    </row>
    <row r="5" spans="1:4" x14ac:dyDescent="0.3">
      <c r="A5" s="12">
        <f>[1]Forward!$C$2</f>
        <v>46058.408645833333</v>
      </c>
      <c r="B5" s="12">
        <f>[1]Forward!$B$9</f>
        <v>46113</v>
      </c>
      <c r="C5" s="13">
        <f>[1]Forward!C9</f>
        <v>33.107999999999997</v>
      </c>
      <c r="D5" s="14">
        <f>[1]Forward!D9</f>
        <v>24.399158986582549</v>
      </c>
    </row>
    <row r="6" spans="1:4" x14ac:dyDescent="0.3">
      <c r="A6" s="12">
        <f>[1]Forward!$C$2</f>
        <v>46058.408645833333</v>
      </c>
      <c r="B6" s="12">
        <f>[1]Forward!$B$10</f>
        <v>46143</v>
      </c>
      <c r="C6" s="13">
        <f>[1]Forward!C10</f>
        <v>31.669</v>
      </c>
      <c r="D6" s="14">
        <f>[1]Forward!D10</f>
        <v>24.423926155988447</v>
      </c>
    </row>
    <row r="7" spans="1:4" x14ac:dyDescent="0.3">
      <c r="A7" s="12">
        <f>[1]Forward!$C$2</f>
        <v>46058.408645833333</v>
      </c>
      <c r="B7" s="12">
        <f>[1]Forward!$B$11</f>
        <v>46174</v>
      </c>
      <c r="C7" s="13">
        <f>[1]Forward!C11</f>
        <v>31.161000000000001</v>
      </c>
      <c r="D7" s="14">
        <f>[1]Forward!D11</f>
        <v>24.448251632532802</v>
      </c>
    </row>
    <row r="8" spans="1:4" x14ac:dyDescent="0.3">
      <c r="A8" s="12">
        <f>[1]Forward!$C$2</f>
        <v>46058.408645833333</v>
      </c>
      <c r="B8" s="12">
        <f>[1]Forward!$B$12</f>
        <v>46204</v>
      </c>
      <c r="C8" s="13">
        <f>[1]Forward!C12</f>
        <v>31.327000000000002</v>
      </c>
      <c r="D8" s="14">
        <f>[1]Forward!D12</f>
        <v>24.469755669019499</v>
      </c>
    </row>
    <row r="9" spans="1:4" x14ac:dyDescent="0.3">
      <c r="A9" s="12">
        <f>[1]Forward!$C$2</f>
        <v>46058.408645833333</v>
      </c>
      <c r="B9" s="12">
        <f>[1]Forward!B13</f>
        <v>46235</v>
      </c>
      <c r="C9" s="13">
        <f>[1]Forward!C13</f>
        <v>31.137</v>
      </c>
      <c r="D9" s="14">
        <f>[1]Forward!D13</f>
        <v>24.493253772238901</v>
      </c>
    </row>
    <row r="10" spans="1:4" x14ac:dyDescent="0.3">
      <c r="A10" s="12">
        <f>[1]Forward!$C$2</f>
        <v>46058.408645833333</v>
      </c>
      <c r="B10" s="12">
        <f>[1]Forward!B14</f>
        <v>46266</v>
      </c>
      <c r="C10" s="13">
        <f>[1]Forward!C14</f>
        <v>31.690999999999999</v>
      </c>
      <c r="D10" s="14">
        <f>[1]Forward!D14</f>
        <v>24.51330524998345</v>
      </c>
    </row>
    <row r="11" spans="1:4" x14ac:dyDescent="0.3">
      <c r="A11" s="12">
        <f>[1]Forward!$C$2</f>
        <v>46058.408645833333</v>
      </c>
      <c r="B11" s="12">
        <f>[1]Forward!B15</f>
        <v>46296</v>
      </c>
      <c r="C11" s="13">
        <f>[1]Forward!C15</f>
        <v>31.544</v>
      </c>
      <c r="D11" s="14">
        <f>[1]Forward!D15</f>
        <v>24.535489962993502</v>
      </c>
    </row>
    <row r="12" spans="1:4" x14ac:dyDescent="0.3">
      <c r="A12" s="12">
        <f>[1]Forward!$C$2</f>
        <v>46058.408645833333</v>
      </c>
      <c r="B12" s="12">
        <f>[1]Forward!B16</f>
        <v>46327</v>
      </c>
      <c r="C12" s="13">
        <f>[1]Forward!C16</f>
        <v>32.377000000000002</v>
      </c>
      <c r="D12" s="14">
        <f>[1]Forward!D16</f>
        <v>24.55383164520655</v>
      </c>
    </row>
    <row r="13" spans="1:4" x14ac:dyDescent="0.3">
      <c r="A13" s="12">
        <f>[1]Forward!$C$2</f>
        <v>46058.408645833333</v>
      </c>
      <c r="B13" s="12">
        <f>[1]Forward!B17</f>
        <v>46357</v>
      </c>
      <c r="C13" s="13">
        <f>[1]Forward!C17</f>
        <v>32.738</v>
      </c>
      <c r="D13" s="14">
        <f>[1]Forward!D17</f>
        <v>24.570494386222649</v>
      </c>
    </row>
    <row r="14" spans="1:4" x14ac:dyDescent="0.3">
      <c r="A14" s="12">
        <f>[1]Forward!$C$2</f>
        <v>46058.408645833333</v>
      </c>
      <c r="B14" s="12">
        <f>[1]Forward!B18</f>
        <v>46388</v>
      </c>
      <c r="C14" s="13">
        <f>[1]Forward!C18</f>
        <v>32.550519786898306</v>
      </c>
      <c r="D14" s="14">
        <f>[1]Forward!D18</f>
        <v>24.588999931751097</v>
      </c>
    </row>
    <row r="15" spans="1:4" x14ac:dyDescent="0.3">
      <c r="A15" s="12">
        <f>[1]Forward!$C$2</f>
        <v>46058.408645833333</v>
      </c>
      <c r="B15" s="12">
        <f>[1]Forward!B19</f>
        <v>46419</v>
      </c>
      <c r="C15" s="13">
        <f>[1]Forward!C19</f>
        <v>32.422661771368759</v>
      </c>
      <c r="D15" s="14">
        <f>[1]Forward!D19</f>
        <v>24.60401986424035</v>
      </c>
    </row>
    <row r="16" spans="1:4" x14ac:dyDescent="0.3">
      <c r="A16" s="12">
        <f>[1]Forward!$C$2</f>
        <v>46058.408645833333</v>
      </c>
      <c r="B16" s="12">
        <f>[1]Forward!B20</f>
        <v>46447</v>
      </c>
      <c r="C16" s="13">
        <f>[1]Forward!C20</f>
        <v>31.59158467042667</v>
      </c>
      <c r="D16" s="14">
        <f>[1]Forward!D20</f>
        <v>24.6208737095318</v>
      </c>
    </row>
    <row r="17" spans="1:4" x14ac:dyDescent="0.3">
      <c r="A17" s="12">
        <f>[1]Forward!$C$2</f>
        <v>46058.408645833333</v>
      </c>
      <c r="B17" s="12">
        <f>[1]Forward!B21</f>
        <v>46478</v>
      </c>
      <c r="C17" s="13">
        <f>[1]Forward!C21</f>
        <v>28.239573696626938</v>
      </c>
      <c r="D17" s="14">
        <f>[1]Forward!D21</f>
        <v>24.64023014806725</v>
      </c>
    </row>
    <row r="18" spans="1:4" x14ac:dyDescent="0.3">
      <c r="A18" s="12">
        <f>[1]Forward!$C$2</f>
        <v>46058.408645833333</v>
      </c>
      <c r="B18" s="12">
        <f>[1]Forward!B22</f>
        <v>46508</v>
      </c>
      <c r="C18" s="13">
        <f>[1]Forward!C22</f>
        <v>27.01426771446873</v>
      </c>
      <c r="D18" s="14">
        <f>[1]Forward!D22</f>
        <v>24.657698520947001</v>
      </c>
    </row>
    <row r="19" spans="1:4" x14ac:dyDescent="0.3">
      <c r="A19" s="12">
        <f>[1]Forward!$C$2</f>
        <v>46058.408645833333</v>
      </c>
      <c r="B19" s="12">
        <f>[1]Forward!B23</f>
        <v>46539</v>
      </c>
      <c r="C19" s="13">
        <f>[1]Forward!C23</f>
        <v>26.64667591982127</v>
      </c>
      <c r="D19" s="14">
        <f>[1]Forward!D23</f>
        <v>24.6691474351978</v>
      </c>
    </row>
    <row r="20" spans="1:4" x14ac:dyDescent="0.3">
      <c r="A20" s="12">
        <f>[1]Forward!$C$2</f>
        <v>46058.408645833333</v>
      </c>
      <c r="B20" s="12">
        <f>[1]Forward!B24</f>
        <v>46569</v>
      </c>
      <c r="C20" s="13">
        <f>[1]Forward!C24</f>
        <v>26.694622675644851</v>
      </c>
      <c r="D20" s="14">
        <f>[1]Forward!D24</f>
        <v>24.680966325081901</v>
      </c>
    </row>
    <row r="21" spans="1:4" x14ac:dyDescent="0.3">
      <c r="A21" s="12">
        <f>[1]Forward!$C$2</f>
        <v>46058.408645833333</v>
      </c>
      <c r="B21" s="12">
        <f>[1]Forward!B25</f>
        <v>46600</v>
      </c>
      <c r="C21" s="13">
        <f>[1]Forward!C25</f>
        <v>26.71593234489978</v>
      </c>
      <c r="D21" s="14">
        <f>[1]Forward!D25</f>
        <v>24.698817484146801</v>
      </c>
    </row>
    <row r="22" spans="1:4" x14ac:dyDescent="0.3">
      <c r="A22" s="12">
        <f>[1]Forward!$C$2</f>
        <v>46058.408645833333</v>
      </c>
      <c r="B22" s="12">
        <f>[1]Forward!B26</f>
        <v>46631</v>
      </c>
      <c r="C22" s="13">
        <f>[1]Forward!C26</f>
        <v>26.854445195056794</v>
      </c>
      <c r="D22" s="14">
        <f>[1]Forward!D26</f>
        <v>24.726420888671701</v>
      </c>
    </row>
    <row r="23" spans="1:4" x14ac:dyDescent="0.3">
      <c r="A23" s="12">
        <f>[1]Forward!$C$2</f>
        <v>46058.408645833333</v>
      </c>
      <c r="B23" s="12">
        <f>[1]Forward!B27</f>
        <v>46661</v>
      </c>
      <c r="C23" s="13">
        <f>[1]Forward!C27</f>
        <v>26.854445195056794</v>
      </c>
      <c r="D23" s="14">
        <f>[1]Forward!D27</f>
        <v>24.754029348428102</v>
      </c>
    </row>
    <row r="24" spans="1:4" x14ac:dyDescent="0.3">
      <c r="A24" s="12">
        <f>[1]Forward!$C$2</f>
        <v>46058.408645833333</v>
      </c>
      <c r="B24" s="12">
        <f>[1]Forward!B28</f>
        <v>46692</v>
      </c>
      <c r="C24" s="13">
        <f>[1]Forward!C28</f>
        <v>27.437264649178999</v>
      </c>
      <c r="D24" s="14">
        <f>[1]Forward!D28</f>
        <v>24.777600011112497</v>
      </c>
    </row>
    <row r="25" spans="1:4" x14ac:dyDescent="0.3">
      <c r="A25" s="12">
        <f>[1]Forward!$C$2</f>
        <v>46058.408645833333</v>
      </c>
      <c r="B25" s="12">
        <f>[1]Forward!B29</f>
        <v>46722</v>
      </c>
      <c r="C25" s="13">
        <f>[1]Forward!C29</f>
        <v>27.970006380552128</v>
      </c>
      <c r="D25" s="14">
        <f>[1]Forward!D29</f>
        <v>24.783919908332599</v>
      </c>
    </row>
    <row r="26" spans="1:4" x14ac:dyDescent="0.3">
      <c r="A26" s="12">
        <f>[1]Forward!$C$2</f>
        <v>46058.408645833333</v>
      </c>
      <c r="B26" s="12">
        <f>[1]Forward!B30</f>
        <v>46753</v>
      </c>
      <c r="C26" s="13">
        <f>[1]Forward!C30</f>
        <v>28.649921671352363</v>
      </c>
      <c r="D26" s="14">
        <f>[1]Forward!D30</f>
        <v>24.791035305454649</v>
      </c>
    </row>
    <row r="27" spans="1:4" x14ac:dyDescent="0.3">
      <c r="A27" s="12">
        <f>[1]Forward!$C$2</f>
        <v>46058.408645833333</v>
      </c>
      <c r="B27" s="12">
        <f>[1]Forward!B31</f>
        <v>46784</v>
      </c>
      <c r="C27" s="13">
        <f>[1]Forward!C31</f>
        <v>28.602496948673025</v>
      </c>
      <c r="D27" s="14">
        <f>[1]Forward!D31</f>
        <v>24.799902323840598</v>
      </c>
    </row>
    <row r="28" spans="1:4" x14ac:dyDescent="0.3">
      <c r="A28" s="12">
        <f>[1]Forward!$C$2</f>
        <v>46058.408645833333</v>
      </c>
      <c r="B28" s="12">
        <f>[1]Forward!B32</f>
        <v>46813</v>
      </c>
      <c r="C28" s="13">
        <f>[1]Forward!C32</f>
        <v>27.853401897260742</v>
      </c>
      <c r="D28" s="14">
        <f>[1]Forward!D32</f>
        <v>24.816949874433952</v>
      </c>
    </row>
    <row r="29" spans="1:4" x14ac:dyDescent="0.3">
      <c r="A29" s="12">
        <f>[1]Forward!$C$2</f>
        <v>46058.408645833333</v>
      </c>
      <c r="B29" s="12">
        <f>[1]Forward!B33</f>
        <v>46844</v>
      </c>
      <c r="C29" s="13">
        <f>[1]Forward!C33</f>
        <v>24.81821964578306</v>
      </c>
      <c r="D29" s="14">
        <f>[1]Forward!D33</f>
        <v>24.836921307396452</v>
      </c>
    </row>
    <row r="30" spans="1:4" x14ac:dyDescent="0.3">
      <c r="A30" s="12">
        <f>[1]Forward!$C$2</f>
        <v>46058.408645833333</v>
      </c>
      <c r="B30" s="12">
        <f>[1]Forward!B34</f>
        <v>46874</v>
      </c>
      <c r="C30" s="13">
        <f>[1]Forward!C34</f>
        <v>23.858946846132795</v>
      </c>
      <c r="D30" s="14">
        <f>[1]Forward!D34</f>
        <v>24.852769171639849</v>
      </c>
    </row>
    <row r="31" spans="1:4" x14ac:dyDescent="0.3">
      <c r="A31" s="12">
        <f>[1]Forward!$C$2</f>
        <v>46058.408645833333</v>
      </c>
      <c r="B31" s="12">
        <f>[1]Forward!B35</f>
        <v>46905</v>
      </c>
      <c r="C31" s="13">
        <f>[1]Forward!C35</f>
        <v>23.794276769751882</v>
      </c>
      <c r="D31" s="14">
        <f>[1]Forward!D35</f>
        <v>24.870951982382998</v>
      </c>
    </row>
    <row r="32" spans="1:4" x14ac:dyDescent="0.3">
      <c r="A32" s="12">
        <f>[1]Forward!$C$2</f>
        <v>46058.408645833333</v>
      </c>
      <c r="B32" s="12">
        <f>[1]Forward!B36</f>
        <v>46935</v>
      </c>
      <c r="C32" s="13">
        <f>[1]Forward!C36</f>
        <v>23.363142927212436</v>
      </c>
      <c r="D32" s="14">
        <f>[1]Forward!D36</f>
        <v>24.889706887886447</v>
      </c>
    </row>
    <row r="33" spans="1:4" x14ac:dyDescent="0.3">
      <c r="A33" s="12">
        <f>[1]Forward!$C$2</f>
        <v>46058.408645833333</v>
      </c>
      <c r="B33" s="12">
        <f>[1]Forward!B37</f>
        <v>46966</v>
      </c>
      <c r="C33" s="13">
        <f>[1]Forward!C37</f>
        <v>23.584099021513904</v>
      </c>
      <c r="D33" s="14">
        <f>[1]Forward!D37</f>
        <v>24.906690843585501</v>
      </c>
    </row>
    <row r="34" spans="1:4" x14ac:dyDescent="0.3">
      <c r="A34" s="12">
        <f>[1]Forward!$C$2</f>
        <v>46058.408645833333</v>
      </c>
      <c r="B34" s="12">
        <f>[1]Forward!B38</f>
        <v>46997</v>
      </c>
      <c r="C34" s="13">
        <f>[1]Forward!C38</f>
        <v>24.005532352596209</v>
      </c>
      <c r="D34" s="14">
        <f>[1]Forward!D38</f>
        <v>24.924832777015347</v>
      </c>
    </row>
    <row r="35" spans="1:4" x14ac:dyDescent="0.3">
      <c r="A35" s="12">
        <f>[1]Forward!$C$2</f>
        <v>46058.408645833333</v>
      </c>
      <c r="B35" s="12">
        <f>[1]Forward!B39</f>
        <v>47027</v>
      </c>
      <c r="C35" s="13">
        <f>[1]Forward!C39</f>
        <v>24.188764235675471</v>
      </c>
      <c r="D35" s="14">
        <f>[1]Forward!D39</f>
        <v>24.942960936567999</v>
      </c>
    </row>
    <row r="36" spans="1:4" x14ac:dyDescent="0.3">
      <c r="A36" s="12">
        <f>[1]Forward!$C$2</f>
        <v>46058.408645833333</v>
      </c>
      <c r="B36" s="12">
        <f>[1]Forward!B40</f>
        <v>47058</v>
      </c>
      <c r="C36" s="13">
        <f>[1]Forward!C40</f>
        <v>25.061810266817844</v>
      </c>
      <c r="D36" s="14">
        <f>[1]Forward!D40</f>
        <v>24.960491202214449</v>
      </c>
    </row>
    <row r="37" spans="1:4" x14ac:dyDescent="0.3">
      <c r="A37" s="12">
        <f>[1]Forward!$C$2</f>
        <v>46058.408645833333</v>
      </c>
      <c r="B37" s="12">
        <f>[1]Forward!B41</f>
        <v>47088</v>
      </c>
      <c r="C37" s="13">
        <f>[1]Forward!C41</f>
        <v>25.471387417230321</v>
      </c>
      <c r="D37" s="14">
        <f>[1]Forward!D41</f>
        <v>24.978008568287947</v>
      </c>
    </row>
    <row r="38" spans="1:4" x14ac:dyDescent="0.3">
      <c r="A38" s="12">
        <f>[1]Forward!$C$2</f>
        <v>46058.408645833333</v>
      </c>
      <c r="B38" s="12">
        <f>[1]Forward!B42</f>
        <v>47119</v>
      </c>
      <c r="C38" s="13">
        <f>[1]Forward!C42</f>
        <v>25.702626876425164</v>
      </c>
      <c r="D38" s="14">
        <f>[1]Forward!D42</f>
        <v>24.996679540570501</v>
      </c>
    </row>
    <row r="39" spans="1:4" x14ac:dyDescent="0.3">
      <c r="A39" s="12">
        <f>[1]Forward!$C$2</f>
        <v>46058.408645833333</v>
      </c>
      <c r="B39" s="12">
        <f>[1]Forward!B43</f>
        <v>47150</v>
      </c>
      <c r="C39" s="13">
        <f>[1]Forward!C43</f>
        <v>25.897803759556975</v>
      </c>
      <c r="D39" s="14">
        <f>[1]Forward!D43</f>
        <v>25.014109600940003</v>
      </c>
    </row>
    <row r="40" spans="1:4" x14ac:dyDescent="0.3">
      <c r="A40" s="12">
        <f>[1]Forward!$C$2</f>
        <v>46058.408645833333</v>
      </c>
      <c r="B40" s="12">
        <f>[1]Forward!B44</f>
        <v>47178</v>
      </c>
      <c r="C40" s="13">
        <f>[1]Forward!C44</f>
        <v>25.50202841320635</v>
      </c>
      <c r="D40" s="14">
        <f>[1]Forward!D44</f>
        <v>25.030234055395653</v>
      </c>
    </row>
    <row r="41" spans="1:4" x14ac:dyDescent="0.3">
      <c r="A41" s="12">
        <f>[1]Forward!$C$2</f>
        <v>46058.408645833333</v>
      </c>
      <c r="B41" s="12">
        <f>[1]Forward!B45</f>
        <v>47209</v>
      </c>
      <c r="C41" s="13">
        <f>[1]Forward!C45</f>
        <v>23.217374564546724</v>
      </c>
      <c r="D41" s="14">
        <f>[1]Forward!D45</f>
        <v>25.048648449850099</v>
      </c>
    </row>
    <row r="42" spans="1:4" x14ac:dyDescent="0.3">
      <c r="A42" s="12">
        <f>[1]Forward!$C$2</f>
        <v>46058.408645833333</v>
      </c>
      <c r="B42" s="12">
        <f>[1]Forward!B46</f>
        <v>47239</v>
      </c>
      <c r="C42" s="13">
        <f>[1]Forward!C46</f>
        <v>22.626422335064287</v>
      </c>
      <c r="D42" s="14">
        <f>[1]Forward!D46</f>
        <v>25.065324007255597</v>
      </c>
    </row>
    <row r="43" spans="1:4" x14ac:dyDescent="0.3">
      <c r="A43" s="12">
        <f>[1]Forward!$C$2</f>
        <v>46058.408645833333</v>
      </c>
      <c r="B43" s="12">
        <f>[1]Forward!B47</f>
        <v>47270</v>
      </c>
      <c r="C43" s="13">
        <f>[1]Forward!C47</f>
        <v>22.05173484584283</v>
      </c>
      <c r="D43" s="14">
        <f>[1]Forward!D47</f>
        <v>25.083136473154699</v>
      </c>
    </row>
    <row r="44" spans="1:4" x14ac:dyDescent="0.3">
      <c r="A44" s="12">
        <f>[1]Forward!$C$2</f>
        <v>46058.408645833333</v>
      </c>
      <c r="B44" s="12">
        <f>[1]Forward!B48</f>
        <v>47300</v>
      </c>
      <c r="C44" s="13">
        <f>[1]Forward!C48</f>
        <v>21.970411144537909</v>
      </c>
      <c r="D44" s="14">
        <f>[1]Forward!D48</f>
        <v>25.100935371440798</v>
      </c>
    </row>
    <row r="45" spans="1:4" x14ac:dyDescent="0.3">
      <c r="A45" s="12">
        <f>[1]Forward!$C$2</f>
        <v>46058.408645833333</v>
      </c>
      <c r="B45" s="12">
        <f>[1]Forward!B49</f>
        <v>47331</v>
      </c>
      <c r="C45" s="13">
        <f>[1]Forward!C49</f>
        <v>22.25233330906164</v>
      </c>
      <c r="D45" s="14">
        <f>[1]Forward!D49</f>
        <v>25.118147193542899</v>
      </c>
    </row>
    <row r="46" spans="1:4" x14ac:dyDescent="0.3">
      <c r="A46" s="12">
        <f>[1]Forward!$C$2</f>
        <v>46058.408645833333</v>
      </c>
      <c r="B46" s="12">
        <f>[1]Forward!B50</f>
        <v>47362</v>
      </c>
      <c r="C46" s="13">
        <f>[1]Forward!C50</f>
        <v>22.761961837239159</v>
      </c>
      <c r="D46" s="14">
        <f>[1]Forward!D50</f>
        <v>25.137065521961649</v>
      </c>
    </row>
    <row r="47" spans="1:4" x14ac:dyDescent="0.3">
      <c r="A47" s="12">
        <f>[1]Forward!$C$2</f>
        <v>46058.408645833333</v>
      </c>
      <c r="B47" s="12">
        <f>[1]Forward!B51</f>
        <v>47392</v>
      </c>
      <c r="C47" s="13">
        <f>[1]Forward!C51</f>
        <v>23.217374564546724</v>
      </c>
      <c r="D47" s="14">
        <f>[1]Forward!D51</f>
        <v>25.153105380020548</v>
      </c>
    </row>
    <row r="48" spans="1:4" x14ac:dyDescent="0.3">
      <c r="A48" s="12">
        <f>[1]Forward!$C$2</f>
        <v>46058.408645833333</v>
      </c>
      <c r="B48" s="12">
        <f>[1]Forward!B52</f>
        <v>47423</v>
      </c>
      <c r="C48" s="13">
        <f>[1]Forward!C52</f>
        <v>23.683630452028282</v>
      </c>
      <c r="D48" s="14">
        <f>[1]Forward!D52</f>
        <v>25.17085088318435</v>
      </c>
    </row>
    <row r="49" spans="1:4" x14ac:dyDescent="0.3">
      <c r="A49" s="12">
        <f>[1]Forward!$C$2</f>
        <v>46058.408645833333</v>
      </c>
      <c r="B49" s="12">
        <f>[1]Forward!B53</f>
        <v>47453</v>
      </c>
      <c r="C49" s="13">
        <f>[1]Forward!C53</f>
        <v>24.05229789794393</v>
      </c>
      <c r="D49" s="14">
        <f>[1]Forward!D53</f>
        <v>25.189154590764602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Rentry</vt:lpstr>
      <vt:lpstr>Propojeni na FWD v Pricingu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Kužel Patrik</dc:creator>
  <cp:lastModifiedBy>Kateřina Křížová</cp:lastModifiedBy>
  <dcterms:created xsi:type="dcterms:W3CDTF">2025-10-20T07:24:19Z</dcterms:created>
  <dcterms:modified xsi:type="dcterms:W3CDTF">2026-02-05T14:22:19Z</dcterms:modified>
</cp:coreProperties>
</file>