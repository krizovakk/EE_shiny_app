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rizova\Documents\R\02 cenoveKalkukacky\EE\EE_shiny_app\web\data_exchange\denni_data\"/>
    </mc:Choice>
  </mc:AlternateContent>
  <xr:revisionPtr revIDLastSave="0" documentId="13_ncr:1_{7B76101E-F4A2-4810-9058-22365553FB1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input" sheetId="1" r:id="rId1"/>
    <sheet name="seznamKontrol" sheetId="3" r:id="rId2"/>
    <sheet name="readMe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<sst xmlns="http://schemas.openxmlformats.org/spreadsheetml/2006/main" count="87" uniqueCount="70">
  <si>
    <t>low_spot</t>
  </si>
  <si>
    <t>hodnota</t>
  </si>
  <si>
    <t>aktual_spot</t>
  </si>
  <si>
    <t>navyseni</t>
  </si>
  <si>
    <t>bsd</t>
  </si>
  <si>
    <t>marzeMin</t>
  </si>
  <si>
    <t>marzeDop</t>
  </si>
  <si>
    <t>parametr</t>
  </si>
  <si>
    <t>stari_OTCcen</t>
  </si>
  <si>
    <t>online</t>
  </si>
  <si>
    <t>30 minut</t>
  </si>
  <si>
    <t>1- ano, 0 - ne</t>
  </si>
  <si>
    <t>typ_vypoctu</t>
  </si>
  <si>
    <t>nazev funkce</t>
  </si>
  <si>
    <t>podstata</t>
  </si>
  <si>
    <t>if TRUE</t>
  </si>
  <si>
    <t>if FALSE</t>
  </si>
  <si>
    <t>conditionTYP</t>
  </si>
  <si>
    <t>Typ výpočtu řízen ostatními podmínkami a tlačítkem, které uživatel zmáčkne.</t>
  </si>
  <si>
    <t>conditionFWD</t>
  </si>
  <si>
    <t>kontrola kompletnosti FWD křivky (kontroluje se NA a 0)</t>
  </si>
  <si>
    <t>výpočet běží</t>
  </si>
  <si>
    <t>conditionCSV</t>
  </si>
  <si>
    <t>conditionOTC</t>
  </si>
  <si>
    <t>kontrola, zda jsou k dispozici všechny hodnoty potřebné pro výpočet</t>
  </si>
  <si>
    <t>conditionPROF</t>
  </si>
  <si>
    <t>kontrola úplnosti zadávaného profilu</t>
  </si>
  <si>
    <r>
      <t xml:space="preserve">Neúplný profil, zkontrolujte vstupni data.
</t>
    </r>
    <r>
      <rPr>
        <sz val="11"/>
        <rFont val="Calibri"/>
        <family val="2"/>
        <charset val="238"/>
        <scheme val="minor"/>
      </rPr>
      <t>Výpočet neproběhne</t>
    </r>
  </si>
  <si>
    <t>conditionZAP</t>
  </si>
  <si>
    <t>kontrola záporných dat v profilu</t>
  </si>
  <si>
    <r>
      <t xml:space="preserve">Záporné hodnoty v profilu, zkontrolujte vstupní data.
</t>
    </r>
    <r>
      <rPr>
        <sz val="11"/>
        <rFont val="Calibri"/>
        <family val="2"/>
        <charset val="238"/>
        <scheme val="minor"/>
      </rPr>
      <t>Výpočet neproběhne</t>
    </r>
  </si>
  <si>
    <t>conditionDUP</t>
  </si>
  <si>
    <t>duplicitní období v zadávaném profilu</t>
  </si>
  <si>
    <t>conditionACQ</t>
  </si>
  <si>
    <r>
      <t xml:space="preserve">Zadane ACQ nesouhlasi se souctem v profilu, zkontrolujte vstupni data.
</t>
    </r>
    <r>
      <rPr>
        <sz val="11"/>
        <rFont val="Calibri"/>
        <family val="2"/>
        <charset val="238"/>
        <scheme val="minor"/>
      </rPr>
      <t>Výpočet neproběhne</t>
    </r>
  </si>
  <si>
    <t xml:space="preserve">missing_facq </t>
  </si>
  <si>
    <r>
      <t xml:space="preserve">Chybí ACQ pro [rok]
</t>
    </r>
    <r>
      <rPr>
        <sz val="11"/>
        <rFont val="Calibri"/>
        <family val="2"/>
        <charset val="238"/>
        <scheme val="minor"/>
      </rPr>
      <t>Výpočet neproběhne</t>
    </r>
  </si>
  <si>
    <t>zadání správného ACQ</t>
  </si>
  <si>
    <t>chybějící zadání ACQ pro daný rok</t>
  </si>
  <si>
    <t>conditionNPF</t>
  </si>
  <si>
    <t>vychází záporný náklad na profil</t>
  </si>
  <si>
    <t>condition4GW</t>
  </si>
  <si>
    <t>ACQ pro některý rok přesahuje 4 GW</t>
  </si>
  <si>
    <t>pořadí</t>
  </si>
  <si>
    <t>app_online</t>
  </si>
  <si>
    <t>aplikace běží</t>
  </si>
  <si>
    <t>řízení</t>
  </si>
  <si>
    <t xml:space="preserve">omezení provozu applikace NATVRDO </t>
  </si>
  <si>
    <t>řídíme z listu "input" buňkou B11</t>
  </si>
  <si>
    <t>v průběhu výpočtu</t>
  </si>
  <si>
    <t xml:space="preserve"> řídíme z listu "input" buňkou B9</t>
  </si>
  <si>
    <t xml:space="preserve">kontrola aktuálnosti CSV s OTC cenami </t>
  </si>
  <si>
    <t>řídíme z listu "input" buňkou B10</t>
  </si>
  <si>
    <r>
      <rPr>
        <sz val="11"/>
        <color rgb="FF00B0F0"/>
        <rFont val="Calibri"/>
        <family val="2"/>
        <charset val="238"/>
        <scheme val="minor"/>
      </rPr>
      <t>Nejsou k dispozici aktuální tržní ceny, nabídka je pouze indikativní.</t>
    </r>
    <r>
      <rPr>
        <sz val="11"/>
        <color theme="1"/>
        <rFont val="Calibri"/>
        <family val="2"/>
        <scheme val="minor"/>
      </rPr>
      <t xml:space="preserve">
Výpočet proběhne, ale nabídka je pouze indikativní</t>
    </r>
  </si>
  <si>
    <t>nastavení typu výpočtu NATVRDO v případě velkých výkyvů na trhu</t>
  </si>
  <si>
    <r>
      <rPr>
        <sz val="11"/>
        <color rgb="FFFF0000"/>
        <rFont val="Calibri"/>
        <family val="2"/>
        <charset val="238"/>
        <scheme val="minor"/>
      </rPr>
      <t xml:space="preserve"> Neúplná FWD křivka, kontaktujte Nákupní oddělení.</t>
    </r>
    <r>
      <rPr>
        <sz val="11"/>
        <color theme="1"/>
        <rFont val="Calibri"/>
        <family val="2"/>
        <scheme val="minor"/>
      </rPr>
      <t xml:space="preserve">
Výpočet neproběhne</t>
    </r>
  </si>
  <si>
    <r>
      <t xml:space="preserve">V profilu se objevují duplicity, zkontrolujte vstupní data.
</t>
    </r>
    <r>
      <rPr>
        <sz val="11"/>
        <rFont val="Calibri"/>
        <family val="2"/>
        <charset val="238"/>
        <scheme val="minor"/>
      </rPr>
      <t>Výpočet neproběhne</t>
    </r>
  </si>
  <si>
    <r>
      <rPr>
        <sz val="11"/>
        <rFont val="Calibri"/>
        <family val="2"/>
        <charset val="238"/>
        <scheme val="minor"/>
      </rPr>
      <t xml:space="preserve">Výpočet proběhne, ale vyskočí hláška: </t>
    </r>
    <r>
      <rPr>
        <sz val="11"/>
        <color rgb="FFFF0000"/>
        <rFont val="Calibri"/>
        <family val="2"/>
        <charset val="238"/>
        <scheme val="minor"/>
      </rPr>
      <t xml:space="preserve"> </t>
    </r>
    <r>
      <rPr>
        <sz val="11"/>
        <color theme="7"/>
        <rFont val="Calibri"/>
        <family val="2"/>
        <charset val="238"/>
        <scheme val="minor"/>
      </rPr>
      <t>Záporný náklad na profil, zkontrolujte relevantnost dat.</t>
    </r>
  </si>
  <si>
    <t>Aplikace je z provozních důvodů momentálně nedostupná,
Prosím, kontaktujte Nákupní oddělení.</t>
  </si>
  <si>
    <r>
      <rPr>
        <sz val="11"/>
        <color rgb="FFFF0000"/>
        <rFont val="Calibri"/>
        <family val="2"/>
        <charset val="238"/>
        <scheme val="minor"/>
      </rPr>
      <t>Momentálně není dostupná vstupní cena pro [prod]. Zkuste výpočet znovu za 15 min.</t>
    </r>
    <r>
      <rPr>
        <sz val="11"/>
        <color theme="1"/>
        <rFont val="Calibri"/>
        <family val="2"/>
        <scheme val="minor"/>
      </rPr>
      <t xml:space="preserve">
Výpočet neproběhne</t>
    </r>
  </si>
  <si>
    <t>0 = indikativni; 1 = zavazny</t>
  </si>
  <si>
    <t>= low_spot +  navyseni</t>
  </si>
  <si>
    <t>(zatim nevyuzivame)</t>
  </si>
  <si>
    <r>
      <rPr>
        <sz val="11"/>
        <color rgb="FF00B0F0"/>
        <rFont val="Calibri"/>
        <family val="2"/>
        <charset val="238"/>
        <scheme val="minor"/>
      </rPr>
      <t>Zadané ACQ přesahuje 4 GWh, pro závaznou nabídku kontaktujte Nákupní oddělení.</t>
    </r>
    <r>
      <rPr>
        <sz val="11"/>
        <color theme="1"/>
        <rFont val="Calibri"/>
        <family val="2"/>
        <scheme val="minor"/>
      </rPr>
      <t xml:space="preserve">
Výpočet proběhne, ale nabídka je pouze indikativní</t>
    </r>
  </si>
  <si>
    <r>
      <rPr>
        <sz val="11"/>
        <color theme="8"/>
        <rFont val="Calibri"/>
        <family val="2"/>
        <charset val="238"/>
        <scheme val="minor"/>
      </rPr>
      <t>typ_vypoctu &lt;- "indikativni"</t>
    </r>
    <r>
      <rPr>
        <sz val="11"/>
        <color theme="1"/>
        <rFont val="Calibri"/>
        <family val="2"/>
        <scheme val="minor"/>
      </rPr>
      <t xml:space="preserve">
Veškeré výpočty budou prováděny v indikativní rovině, nepůjde stáhnout PDF</t>
    </r>
  </si>
  <si>
    <t>prirazka_nakup</t>
  </si>
  <si>
    <t>banner</t>
  </si>
  <si>
    <t>TEXT</t>
  </si>
  <si>
    <t>Nízká likvidita trhu, ceny jsou pouze indikativní.</t>
  </si>
  <si>
    <t>Nacenění v tuto chvíli probíhá v indikativním režimu.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</si>
</sst>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color theme="7"/>
      <name val="Calibri"/>
      <family val="2"/>
      <charset val="238"/>
      <scheme val="minor"/>
    </font>
    <font>
      <sz val="11"/>
      <color rgb="FF00B0F0"/>
      <name val="Calibri"/>
      <family val="2"/>
      <charset val="238"/>
      <scheme val="minor"/>
    </font>
    <font>
      <b/>
      <sz val="11"/>
      <color theme="4"/>
      <name val="Cascadia Code"/>
      <family val="3"/>
      <charset val="238"/>
    </font>
    <font>
      <sz val="11"/>
      <color theme="0" tint="-0.34998626667073579"/>
      <name val="Calibri"/>
      <family val="2"/>
      <scheme val="minor"/>
    </font>
    <font>
      <sz val="11"/>
      <color rgb="FF9C57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1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8" fillId="0" borderId="0" xfId="0" applyFont="1"/>
    <xf numFmtId="0" fontId="5" fillId="0" borderId="0" xfId="0" applyFont="1" applyAlignment="1">
      <alignment wrapText="1"/>
    </xf>
    <xf numFmtId="0" fontId="3" fillId="7" borderId="0" xfId="1"/>
    <xf numFmtId="0" fontId="4" fillId="8" borderId="0" xfId="2" applyAlignment="1">
      <alignment horizontal="left" wrapText="1"/>
    </xf>
    <xf numFmtId="0" fontId="1" fillId="9" borderId="0" xfId="3"/>
    <xf numFmtId="0" fontId="11" fillId="0" borderId="0" xfId="0" applyFont="1"/>
    <xf numFmtId="0" fontId="0" fillId="0" borderId="0" xfId="0" quotePrefix="1" applyAlignment="1">
      <alignment horizontal="center"/>
    </xf>
    <xf numFmtId="0" fontId="12" fillId="0" borderId="0" xfId="0" applyFont="1"/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  <xf numFmtId="2" fontId="12" fillId="10" borderId="0" xfId="0" applyNumberFormat="1" applyFont="1" applyFill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  <xf numFmtId="1" fontId="0" fillId="6" borderId="0" xfId="0" applyNumberFormat="1" applyFill="1" applyAlignment="1">
      <alignment horizontal="left"/>
    </xf>
    <xf numFmtId="49" fontId="13" fillId="11" borderId="0" xfId="4" applyNumberFormat="1"/>
  </cellXfs>
  <cellStyles count="5">
    <cellStyle name="20 % – Zvýraznění 1" xfId="3" builtinId="30"/>
    <cellStyle name="Neutrální" xfId="4" builtinId="28"/>
    <cellStyle name="Normální" xfId="0" builtinId="0"/>
    <cellStyle name="Správně" xfId="1" builtinId="26"/>
    <cellStyle name="Špatně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1" sqref="B11"/>
    </sheetView>
  </sheetViews>
  <sheetFormatPr defaultRowHeight="14.4" x14ac:dyDescent="0.3"/>
  <cols>
    <col min="1" max="1" width="15" customWidth="1"/>
    <col min="2" max="2" width="74.44140625" customWidth="1"/>
    <col min="3" max="3" width="28.44140625" style="3" customWidth="1"/>
  </cols>
  <sheetData>
    <row r="1" spans="1:3" s="1" customFormat="1" x14ac:dyDescent="0.3">
      <c r="A1" s="1" t="s">
        <v>7</v>
      </c>
      <c r="B1" s="1" t="s">
        <v>1</v>
      </c>
      <c r="C1" s="2"/>
    </row>
    <row r="2" spans="1:3" x14ac:dyDescent="0.3">
      <c r="A2" t="s">
        <v>0</v>
      </c>
      <c r="B2" s="13">
        <v>24.25</v>
      </c>
    </row>
    <row r="3" spans="1:3" x14ac:dyDescent="0.3">
      <c r="A3" t="s">
        <v>3</v>
      </c>
      <c r="B3" s="13">
        <v>0.1</v>
      </c>
    </row>
    <row r="4" spans="1:3" x14ac:dyDescent="0.3">
      <c r="A4" t="s">
        <v>2</v>
      </c>
      <c r="B4" s="14">
        <f>B2+B3</f>
        <v>24.35</v>
      </c>
      <c r="C4" s="11" t="s">
        <v>61</v>
      </c>
    </row>
    <row r="5" spans="1:3" x14ac:dyDescent="0.3">
      <c r="A5" t="s">
        <v>65</v>
      </c>
      <c r="B5" s="13">
        <v>0.3</v>
      </c>
    </row>
    <row r="6" spans="1:3" x14ac:dyDescent="0.3">
      <c r="A6" s="12" t="s">
        <v>4</v>
      </c>
      <c r="B6" s="15">
        <v>1.2</v>
      </c>
      <c r="C6" s="3" t="s">
        <v>62</v>
      </c>
    </row>
    <row r="7" spans="1:3" x14ac:dyDescent="0.3">
      <c r="A7" t="s">
        <v>5</v>
      </c>
      <c r="B7" s="13">
        <v>1.2</v>
      </c>
    </row>
    <row r="8" spans="1:3" x14ac:dyDescent="0.3">
      <c r="A8" t="s">
        <v>6</v>
      </c>
      <c r="B8" s="13">
        <v>6</v>
      </c>
    </row>
    <row r="9" spans="1:3" x14ac:dyDescent="0.3">
      <c r="A9" t="s">
        <v>8</v>
      </c>
      <c r="B9" s="16">
        <v>30</v>
      </c>
      <c r="C9" s="3" t="s">
        <v>10</v>
      </c>
    </row>
    <row r="10" spans="1:3" x14ac:dyDescent="0.3">
      <c r="A10" t="s">
        <v>9</v>
      </c>
      <c r="B10" s="17">
        <v>1</v>
      </c>
      <c r="C10" s="3" t="s">
        <v>11</v>
      </c>
    </row>
    <row r="11" spans="1:3" x14ac:dyDescent="0.3">
      <c r="A11" t="s">
        <v>12</v>
      </c>
      <c r="B11" s="18">
        <v>1</v>
      </c>
      <c r="C11" s="3" t="s">
        <v>60</v>
      </c>
    </row>
    <row r="12" spans="1:3" x14ac:dyDescent="0.3">
      <c r="A12" t="s">
        <v>66</v>
      </c>
      <c r="B12" t="s">
        <v>69</v>
      </c>
      <c r="C12" s="3" t="s">
        <v>67</v>
      </c>
    </row>
    <row r="14" spans="1:3" x14ac:dyDescent="0.3">
      <c r="B14" s="19" t="s">
        <v>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CD63-D1A9-4A87-82E9-671EF83E3BE9}">
  <dimension ref="A1:F13"/>
  <sheetViews>
    <sheetView workbookViewId="0">
      <selection activeCell="C17" sqref="C17"/>
    </sheetView>
  </sheetViews>
  <sheetFormatPr defaultRowHeight="14.4" x14ac:dyDescent="0.3"/>
  <cols>
    <col min="2" max="2" width="17.33203125" customWidth="1"/>
    <col min="3" max="3" width="61.109375" customWidth="1"/>
    <col min="4" max="4" width="32" customWidth="1"/>
    <col min="5" max="5" width="38.5546875" customWidth="1"/>
    <col min="6" max="6" width="68.77734375" customWidth="1"/>
    <col min="7" max="7" width="35.88671875" customWidth="1"/>
  </cols>
  <sheetData>
    <row r="1" spans="1:6" s="5" customFormat="1" ht="18" x14ac:dyDescent="0.35">
      <c r="A1" s="5" t="s">
        <v>43</v>
      </c>
      <c r="B1" s="5" t="s">
        <v>13</v>
      </c>
      <c r="C1" s="5" t="s">
        <v>14</v>
      </c>
      <c r="D1" s="5" t="s">
        <v>46</v>
      </c>
      <c r="E1" s="5" t="s">
        <v>15</v>
      </c>
      <c r="F1" s="5" t="s">
        <v>16</v>
      </c>
    </row>
    <row r="2" spans="1:6" s="5" customFormat="1" ht="29.4" x14ac:dyDescent="0.35">
      <c r="A2" s="3">
        <v>1</v>
      </c>
      <c r="B2" s="10" t="s">
        <v>44</v>
      </c>
      <c r="C2" t="s">
        <v>47</v>
      </c>
      <c r="D2" s="9" t="s">
        <v>52</v>
      </c>
      <c r="E2" s="7" t="s">
        <v>45</v>
      </c>
      <c r="F2" s="8" t="s">
        <v>58</v>
      </c>
    </row>
    <row r="3" spans="1:6" ht="43.8" x14ac:dyDescent="0.35">
      <c r="A3" s="3">
        <v>2</v>
      </c>
      <c r="B3" s="10" t="s">
        <v>17</v>
      </c>
      <c r="C3" t="s">
        <v>54</v>
      </c>
      <c r="D3" s="9" t="s">
        <v>48</v>
      </c>
      <c r="E3" s="4" t="s">
        <v>64</v>
      </c>
      <c r="F3" t="s">
        <v>18</v>
      </c>
    </row>
    <row r="4" spans="1:6" ht="43.8" x14ac:dyDescent="0.35">
      <c r="A4" s="3">
        <v>3</v>
      </c>
      <c r="B4" s="10" t="s">
        <v>19</v>
      </c>
      <c r="C4" t="s">
        <v>20</v>
      </c>
      <c r="D4" t="s">
        <v>49</v>
      </c>
      <c r="E4" s="4" t="s">
        <v>55</v>
      </c>
      <c r="F4" s="7" t="s">
        <v>21</v>
      </c>
    </row>
    <row r="5" spans="1:6" ht="58.2" x14ac:dyDescent="0.35">
      <c r="A5" s="3">
        <v>4</v>
      </c>
      <c r="B5" s="10" t="s">
        <v>22</v>
      </c>
      <c r="C5" t="s">
        <v>51</v>
      </c>
      <c r="D5" s="9" t="s">
        <v>50</v>
      </c>
      <c r="E5" s="4" t="s">
        <v>53</v>
      </c>
      <c r="F5" s="7" t="s">
        <v>21</v>
      </c>
    </row>
    <row r="6" spans="1:6" ht="43.8" x14ac:dyDescent="0.35">
      <c r="A6" s="3">
        <v>5</v>
      </c>
      <c r="B6" s="10" t="s">
        <v>23</v>
      </c>
      <c r="C6" t="s">
        <v>24</v>
      </c>
      <c r="D6" t="s">
        <v>49</v>
      </c>
      <c r="E6" s="4" t="s">
        <v>59</v>
      </c>
      <c r="F6" s="7" t="s">
        <v>21</v>
      </c>
    </row>
    <row r="7" spans="1:6" ht="29.4" x14ac:dyDescent="0.35">
      <c r="A7" s="3">
        <v>6</v>
      </c>
      <c r="B7" s="10" t="s">
        <v>25</v>
      </c>
      <c r="C7" t="s">
        <v>26</v>
      </c>
      <c r="D7" t="s">
        <v>49</v>
      </c>
      <c r="E7" s="6" t="s">
        <v>27</v>
      </c>
      <c r="F7" s="7" t="s">
        <v>21</v>
      </c>
    </row>
    <row r="8" spans="1:6" ht="43.8" x14ac:dyDescent="0.35">
      <c r="A8" s="3">
        <v>7</v>
      </c>
      <c r="B8" s="10" t="s">
        <v>28</v>
      </c>
      <c r="C8" t="s">
        <v>29</v>
      </c>
      <c r="D8" t="s">
        <v>49</v>
      </c>
      <c r="E8" s="6" t="s">
        <v>30</v>
      </c>
      <c r="F8" s="7" t="s">
        <v>21</v>
      </c>
    </row>
    <row r="9" spans="1:6" ht="43.8" x14ac:dyDescent="0.35">
      <c r="A9" s="3">
        <v>8</v>
      </c>
      <c r="B9" s="10" t="s">
        <v>31</v>
      </c>
      <c r="C9" t="s">
        <v>32</v>
      </c>
      <c r="D9" t="s">
        <v>49</v>
      </c>
      <c r="E9" s="6" t="s">
        <v>56</v>
      </c>
      <c r="F9" s="7" t="s">
        <v>21</v>
      </c>
    </row>
    <row r="10" spans="1:6" ht="43.8" x14ac:dyDescent="0.35">
      <c r="A10" s="3">
        <v>9</v>
      </c>
      <c r="B10" s="10" t="s">
        <v>33</v>
      </c>
      <c r="C10" t="s">
        <v>37</v>
      </c>
      <c r="D10" t="s">
        <v>49</v>
      </c>
      <c r="E10" s="6" t="s">
        <v>34</v>
      </c>
      <c r="F10" s="7" t="s">
        <v>21</v>
      </c>
    </row>
    <row r="11" spans="1:6" ht="29.4" x14ac:dyDescent="0.35">
      <c r="A11" s="3">
        <v>10</v>
      </c>
      <c r="B11" s="10" t="s">
        <v>35</v>
      </c>
      <c r="C11" t="s">
        <v>38</v>
      </c>
      <c r="D11" t="s">
        <v>49</v>
      </c>
      <c r="E11" s="6" t="s">
        <v>36</v>
      </c>
      <c r="F11" s="7" t="s">
        <v>21</v>
      </c>
    </row>
    <row r="12" spans="1:6" ht="43.8" x14ac:dyDescent="0.35">
      <c r="A12" s="3">
        <v>11</v>
      </c>
      <c r="B12" s="10" t="s">
        <v>39</v>
      </c>
      <c r="C12" t="s">
        <v>40</v>
      </c>
      <c r="D12" t="s">
        <v>49</v>
      </c>
      <c r="E12" s="6" t="s">
        <v>57</v>
      </c>
      <c r="F12" s="7" t="s">
        <v>21</v>
      </c>
    </row>
    <row r="13" spans="1:6" ht="58.2" x14ac:dyDescent="0.35">
      <c r="A13" s="3">
        <v>12</v>
      </c>
      <c r="B13" s="10" t="s">
        <v>41</v>
      </c>
      <c r="C13" t="s">
        <v>42</v>
      </c>
      <c r="D13" t="s">
        <v>49</v>
      </c>
      <c r="E13" s="4" t="s">
        <v>63</v>
      </c>
      <c r="F13" s="7" t="s">
        <v>21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867-DA18-426A-BFE0-9C504C3D7A17}">
  <dimension ref="A1"/>
  <sheetViews>
    <sheetView workbookViewId="0">
      <selection activeCell="H39" sqref="H39"/>
    </sheetView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input</vt:lpstr>
      <vt:lpstr>seznamKontrol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Křížová</dc:creator>
  <cp:lastModifiedBy>Kateřina Křížová</cp:lastModifiedBy>
  <dcterms:created xsi:type="dcterms:W3CDTF">2015-06-05T18:19:34Z</dcterms:created>
  <dcterms:modified xsi:type="dcterms:W3CDTF">2026-05-18T15:08:37Z</dcterms:modified>
</cp:coreProperties>
</file>