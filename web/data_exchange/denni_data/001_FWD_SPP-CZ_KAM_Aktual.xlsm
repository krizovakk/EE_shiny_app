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X:\Nakup _ NEW\01_Pricing\"/>
    </mc:Choice>
  </mc:AlternateContent>
  <xr:revisionPtr revIDLastSave="0" documentId="8_{8DE3D9F7-F974-497E-8885-AA968A41C01F}" xr6:coauthVersionLast="36" xr6:coauthVersionMax="36" xr10:uidLastSave="{00000000-0000-0000-0000-000000000000}"/>
  <bookViews>
    <workbookView xWindow="-120" yWindow="-120" windowWidth="29040" windowHeight="15720" firstSheet="1" activeTab="1" xr2:uid="{BE9178F4-8256-4351-930B-7AA28E4F7502}"/>
  </bookViews>
  <sheets>
    <sheet name="Settings" sheetId="1" state="veryHidden" r:id="rId1"/>
    <sheet name="Forward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3" i="1"/>
  <c r="C4" i="1" s="1"/>
  <c r="H3" i="1" l="1"/>
  <c r="F3" i="1"/>
  <c r="E3" i="1"/>
  <c r="I3" i="1" l="1"/>
  <c r="G3" i="1"/>
  <c r="C7" i="1" s="1"/>
  <c r="J3" i="1"/>
</calcChain>
</file>

<file path=xl/sharedStrings.xml><?xml version="1.0" encoding="utf-8"?>
<sst xmlns="http://schemas.openxmlformats.org/spreadsheetml/2006/main" count="32" uniqueCount="32">
  <si>
    <t>SPP CZ | Denná aktualizácia forwardových cien NCG a FX rate</t>
  </si>
  <si>
    <t>YYYY</t>
  </si>
  <si>
    <t>MM</t>
  </si>
  <si>
    <t>MM_MMMM</t>
  </si>
  <si>
    <t>DD</t>
  </si>
  <si>
    <t>DD_MM_YYYY</t>
  </si>
  <si>
    <t>YYYY_MM_DD</t>
  </si>
  <si>
    <t>Januar</t>
  </si>
  <si>
    <t>Aktuálny dátum:</t>
  </si>
  <si>
    <t>Februar</t>
  </si>
  <si>
    <t>Aktuálny dátum (YYMMDD):</t>
  </si>
  <si>
    <t>Marec</t>
  </si>
  <si>
    <t>Dátum a čas aktualizácie:</t>
  </si>
  <si>
    <t>April</t>
  </si>
  <si>
    <t>Maj</t>
  </si>
  <si>
    <t>Cesta k zdrojovej zložke:</t>
  </si>
  <si>
    <t>Jun</t>
  </si>
  <si>
    <t>Verzia zdrojového súboru použitá na aktualizáciu:</t>
  </si>
  <si>
    <t>Kalkulacka_new_version_2026_05_20.xlsx</t>
  </si>
  <si>
    <t>Jul</t>
  </si>
  <si>
    <t>August</t>
  </si>
  <si>
    <t>Cesta k cieľovej zložke:</t>
  </si>
  <si>
    <t>\\Hqs0338\s_ba\MM\DS_SPP CZ a.s\Kalkulacky\plyn\iba forward\</t>
  </si>
  <si>
    <t>September</t>
  </si>
  <si>
    <t>Oktober</t>
  </si>
  <si>
    <t>November</t>
  </si>
  <si>
    <t>December</t>
  </si>
  <si>
    <t>Aktualizované:</t>
  </si>
  <si>
    <t>NCG</t>
  </si>
  <si>
    <t>FX rate</t>
  </si>
  <si>
    <t>EUR/MWh</t>
  </si>
  <si>
    <t>EUR/CZK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</si>
</sst>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/m/yyyy\ h:mm;@"/>
    <numFmt numFmtId="166" formatCode="_-* #,##0.0000_-;\-* #,##0.0000_-;_-* &quot;-&quot;??_-;_-@_-"/>
  </numFmts>
  <fonts count="11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trike/>
      <sz val="11"/>
      <color rgb="FF969696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1"/>
      <color theme="2" tint="-0.249977111117893"/>
      <name val="Calibri"/>
      <family val="2"/>
      <charset val="238"/>
      <scheme val="minor"/>
    </font>
    <font>
      <sz val="11"/>
      <color theme="2" tint="-0.249977111117893"/>
      <name val="Calibri"/>
      <family val="2"/>
      <charset val="238"/>
      <scheme val="minor"/>
    </font>
    <font>
      <sz val="11"/>
      <color theme="2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6" fillId="0" borderId="0" xfId="0" applyFont="1"/>
    <xf numFmtId="0" fontId="7" fillId="0" borderId="1" xfId="0" applyFont="1" applyBorder="1"/>
    <xf numFmtId="0" fontId="8" fillId="0" borderId="1" xfId="0" applyFont="1" applyBorder="1"/>
    <xf numFmtId="0" fontId="2" fillId="0" borderId="0" xfId="0" applyFon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9" fillId="0" borderId="0" xfId="0" applyFont="1"/>
    <xf numFmtId="165" fontId="0" fillId="0" borderId="0" xfId="0" applyNumberFormat="1" applyAlignment="1">
      <alignment horizontal="left"/>
    </xf>
    <xf numFmtId="0" fontId="5" fillId="2" borderId="2" xfId="2" applyFill="1" applyBorder="1"/>
    <xf numFmtId="0" fontId="2" fillId="3" borderId="3" xfId="0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17" fontId="2" fillId="4" borderId="3" xfId="0" applyNumberFormat="1" applyFont="1" applyFill="1" applyBorder="1"/>
    <xf numFmtId="166" fontId="0" fillId="0" borderId="3" xfId="1" applyNumberFormat="1" applyFont="1" applyBorder="1"/>
    <xf numFmtId="22" fontId="0" fillId="0" borderId="0" xfId="0" applyNumberFormat="1"/>
    <xf numFmtId="17" fontId="2" fillId="4" borderId="5" xfId="0" applyNumberFormat="1" applyFont="1" applyFill="1" applyBorder="1"/>
    <xf numFmtId="166" fontId="0" fillId="0" borderId="5" xfId="1" applyNumberFormat="1" applyFont="1" applyBorder="1"/>
    <xf numFmtId="17" fontId="2" fillId="4" borderId="4" xfId="0" applyNumberFormat="1" applyFont="1" applyFill="1" applyBorder="1"/>
    <xf numFmtId="166" fontId="0" fillId="0" borderId="4" xfId="1" applyNumberFormat="1" applyFont="1" applyBorder="1"/>
    <xf numFmtId="17" fontId="2" fillId="4" borderId="6" xfId="0" applyNumberFormat="1" applyFont="1" applyFill="1" applyBorder="1"/>
    <xf numFmtId="166" fontId="0" fillId="0" borderId="6" xfId="1" applyNumberFormat="1" applyFont="1" applyBorder="1"/>
  </cellXfs>
  <cellStyles count="3">
    <cellStyle name="Čárka" xfId="1" builtinId="3"/>
    <cellStyle name="Hypertextový odkaz" xfId="2" builtinId="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Aktualizovať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2</xdr:col>
          <xdr:colOff>3048000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Uložiť s novým dátumom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3048000</xdr:colOff>
          <xdr:row>13</xdr:row>
          <xdr:rowOff>0</xdr:rowOff>
        </xdr:from>
        <xdr:to>
          <xdr:col>2</xdr:col>
          <xdr:colOff>6096000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sng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Odoslať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s0338\s_ba\MM\DS_SPP%20CZ%20a.s\Kalkulacky\plyn\iba%20forward\SPP%20CZ%20Fw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orward"/>
      <sheetName val="SPP CZ Fwd"/>
    </sheetNames>
    <definedNames>
      <definedName name="Refresh"/>
      <definedName name="Save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daniel\AppData\Local\Microsoft\Windows\INetCache\Content.Outlook\HV2K28LL\" TargetMode="External"/><Relationship Id="rId1" Type="http://schemas.openxmlformats.org/officeDocument/2006/relationships/hyperlink" Target="file:///\\spp.sk\shared\BA\Averages\SPOT\2024\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1268-5BE4-4D3F-85D9-1250C6073EBA}">
  <sheetPr codeName="Hárok1"/>
  <dimension ref="B1:M13"/>
  <sheetViews>
    <sheetView showGridLines="0" workbookViewId="0"/>
  </sheetViews>
  <sheetFormatPr defaultRowHeight="14.4" x14ac:dyDescent="0.3"/>
  <cols>
    <col min="2" max="2" width="45.6640625" bestFit="1" customWidth="1"/>
    <col min="3" max="3" width="91.5546875" customWidth="1"/>
    <col min="4" max="4" width="9.44140625" bestFit="1" customWidth="1"/>
    <col min="7" max="7" width="14.109375" bestFit="1" customWidth="1"/>
    <col min="9" max="10" width="14" bestFit="1" customWidth="1"/>
    <col min="13" max="13" width="10.88671875" bestFit="1" customWidth="1"/>
  </cols>
  <sheetData>
    <row r="1" spans="2:13" ht="18" x14ac:dyDescent="0.35">
      <c r="B1" s="1" t="s">
        <v>0</v>
      </c>
    </row>
    <row r="2" spans="2:13" ht="20.25" customHeight="1" x14ac:dyDescent="0.3"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L2" s="3">
        <v>1</v>
      </c>
      <c r="M2" s="3" t="s">
        <v>7</v>
      </c>
    </row>
    <row r="3" spans="2:13" x14ac:dyDescent="0.3">
      <c r="B3" s="4" t="s">
        <v>8</v>
      </c>
      <c r="C3" s="5">
        <f ca="1">TODAY()</f>
        <v>46162</v>
      </c>
      <c r="E3" s="3">
        <f ca="1">YEAR(C3)</f>
        <v>2026</v>
      </c>
      <c r="F3" s="3" t="str">
        <f ca="1">RIGHT(LEFT(C4,4),2)</f>
        <v>05</v>
      </c>
      <c r="G3" s="3" t="str">
        <f ca="1">F3&amp;"_"&amp;VLOOKUP(MONTH(C3),Settings!L2:M13,2)</f>
        <v>05_Maj</v>
      </c>
      <c r="H3" s="3" t="str">
        <f ca="1">RIGHT(C4,2)</f>
        <v>20</v>
      </c>
      <c r="I3" s="3" t="str">
        <f ca="1">F3&amp;"_"&amp;H3&amp;"_"&amp;E3</f>
        <v>05_20_2026</v>
      </c>
      <c r="J3" s="3" t="str">
        <f ca="1">E3&amp;"_"&amp;F3&amp;"_"&amp;H3</f>
        <v>2026_05_20</v>
      </c>
      <c r="L3" s="3">
        <v>2</v>
      </c>
      <c r="M3" s="3" t="s">
        <v>9</v>
      </c>
    </row>
    <row r="4" spans="2:13" x14ac:dyDescent="0.3">
      <c r="B4" s="4" t="s">
        <v>10</v>
      </c>
      <c r="C4" s="6" t="str">
        <f ca="1">_xlfn.CONCAT(RIGHT(YEAR(C3),2),TEXT(C3,"mm"),TEXT(C3,"dd"))</f>
        <v>260520</v>
      </c>
      <c r="D4" s="7"/>
      <c r="L4" s="3">
        <v>3</v>
      </c>
      <c r="M4" s="3" t="s">
        <v>11</v>
      </c>
    </row>
    <row r="5" spans="2:13" x14ac:dyDescent="0.3">
      <c r="B5" s="4" t="s">
        <v>12</v>
      </c>
      <c r="C5" s="8">
        <f>Forward!C2</f>
        <v>46162.42895833333</v>
      </c>
      <c r="L5" s="3">
        <v>4</v>
      </c>
      <c r="M5" s="3" t="s">
        <v>13</v>
      </c>
    </row>
    <row r="6" spans="2:13" x14ac:dyDescent="0.3">
      <c r="L6" s="3">
        <v>5</v>
      </c>
      <c r="M6" s="3" t="s">
        <v>14</v>
      </c>
    </row>
    <row r="7" spans="2:13" x14ac:dyDescent="0.3">
      <c r="B7" s="4" t="s">
        <v>15</v>
      </c>
      <c r="C7" s="9" t="str">
        <f ca="1">"\\Hqs0338\s_ba\OPR\SPO\Trading analyses\Kalkulacka data\"&amp;E3&amp;"\"&amp;G3&amp;"\"&amp;I3&amp;"\"</f>
        <v>\\Hqs0338\s_ba\OPR\SPO\Trading analyses\Kalkulacka data\2026\05_Maj\05_20_2026\</v>
      </c>
      <c r="L7" s="3">
        <v>6</v>
      </c>
      <c r="M7" s="3" t="s">
        <v>16</v>
      </c>
    </row>
    <row r="8" spans="2:13" x14ac:dyDescent="0.3">
      <c r="B8" s="4" t="s">
        <v>17</v>
      </c>
      <c r="C8" t="s">
        <v>18</v>
      </c>
      <c r="L8" s="3">
        <v>7</v>
      </c>
      <c r="M8" s="3" t="s">
        <v>19</v>
      </c>
    </row>
    <row r="9" spans="2:13" x14ac:dyDescent="0.3">
      <c r="L9" s="3">
        <v>8</v>
      </c>
      <c r="M9" s="3" t="s">
        <v>20</v>
      </c>
    </row>
    <row r="10" spans="2:13" x14ac:dyDescent="0.3">
      <c r="B10" s="4" t="s">
        <v>21</v>
      </c>
      <c r="C10" s="9" t="s">
        <v>22</v>
      </c>
      <c r="L10" s="3">
        <v>9</v>
      </c>
      <c r="M10" s="3" t="s">
        <v>23</v>
      </c>
    </row>
    <row r="11" spans="2:13" x14ac:dyDescent="0.3">
      <c r="L11" s="3">
        <v>10</v>
      </c>
      <c r="M11" s="3" t="s">
        <v>24</v>
      </c>
    </row>
    <row r="12" spans="2:13" x14ac:dyDescent="0.3">
      <c r="L12" s="3">
        <v>11</v>
      </c>
      <c r="M12" s="3" t="s">
        <v>25</v>
      </c>
    </row>
    <row r="13" spans="2:13" x14ac:dyDescent="0.3">
      <c r="L13" s="3">
        <v>12</v>
      </c>
      <c r="M13" s="3" t="s">
        <v>26</v>
      </c>
    </row>
  </sheetData>
  <hyperlinks>
    <hyperlink ref="C7" r:id="rId1" display="\\spp.sk\shared\BA\Averages\SPOT\2024\" xr:uid="{DC1E316B-EFE6-44D7-BD6C-933E082EE312}"/>
    <hyperlink ref="C10" r:id="rId2" xr:uid="{553876A4-F87B-4126-B822-4DD80CA21D45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1]!Refresh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1]!Sav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3048000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>
                <anchor moveWithCells="1" sizeWithCells="1">
                  <from>
                    <xdr:col>2</xdr:col>
                    <xdr:colOff>3048000</xdr:colOff>
                    <xdr:row>13</xdr:row>
                    <xdr:rowOff>0</xdr:rowOff>
                  </from>
                  <to>
                    <xdr:col>2</xdr:col>
                    <xdr:colOff>6096000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80BF3-9E11-491E-9713-137C296380A6}">
  <sheetPr codeName="Hárok2"/>
  <dimension ref="B2:F65"/>
  <sheetViews>
    <sheetView showGridLines="0" tabSelected="1" workbookViewId="0"/>
  </sheetViews>
  <sheetFormatPr defaultRowHeight="14.4" x14ac:dyDescent="0.3"/>
  <cols>
    <col min="1" max="1" width="5.88671875" customWidth="1"/>
    <col min="2" max="2" width="14.33203125" bestFit="1" customWidth="1"/>
    <col min="3" max="3" width="13.88671875" customWidth="1"/>
    <col min="4" max="4" width="18.33203125" customWidth="1"/>
    <col min="6" max="6" width="14.33203125" bestFit="1" customWidth="1"/>
    <col min="7" max="7" width="9.109375" bestFit="1" customWidth="1"/>
  </cols>
  <sheetData>
    <row r="2" spans="2:6" x14ac:dyDescent="0.3">
      <c r="B2" s="4" t="s">
        <v>27</v>
      </c>
      <c r="C2" s="6">
        <v>46162.42895833333</v>
      </c>
    </row>
    <row r="3" spans="2:6" ht="15" thickBot="1" x14ac:dyDescent="0.35"/>
    <row r="4" spans="2:6" x14ac:dyDescent="0.3">
      <c r="C4" s="10" t="s">
        <v>28</v>
      </c>
      <c r="D4" s="10" t="s">
        <v>29</v>
      </c>
    </row>
    <row r="5" spans="2:6" ht="15" thickBot="1" x14ac:dyDescent="0.35">
      <c r="C5" s="11" t="s">
        <v>30</v>
      </c>
      <c r="D5" s="11" t="s">
        <v>31</v>
      </c>
    </row>
    <row r="6" spans="2:6" x14ac:dyDescent="0.3">
      <c r="B6" s="12">
        <v>46023</v>
      </c>
      <c r="C6" s="13">
        <v>36.018999999999998</v>
      </c>
      <c r="D6" s="13">
        <v>24.278099999999998</v>
      </c>
      <c r="F6" s="14"/>
    </row>
    <row r="7" spans="2:6" x14ac:dyDescent="0.3">
      <c r="B7" s="15">
        <v>46054</v>
      </c>
      <c r="C7" s="16">
        <v>35.524000000000001</v>
      </c>
      <c r="D7" s="16">
        <v>24.26</v>
      </c>
    </row>
    <row r="8" spans="2:6" x14ac:dyDescent="0.3">
      <c r="B8" s="15">
        <v>46082</v>
      </c>
      <c r="C8" s="16">
        <v>52.262580645161286</v>
      </c>
      <c r="D8" s="16">
        <v>24.437000000000001</v>
      </c>
    </row>
    <row r="9" spans="2:6" x14ac:dyDescent="0.3">
      <c r="B9" s="15">
        <v>46113</v>
      </c>
      <c r="C9" s="16">
        <v>45.8</v>
      </c>
      <c r="D9" s="16">
        <v>24.382000000000001</v>
      </c>
    </row>
    <row r="10" spans="2:6" x14ac:dyDescent="0.3">
      <c r="B10" s="15">
        <v>46143</v>
      </c>
      <c r="C10" s="16">
        <v>48.601903225806474</v>
      </c>
      <c r="D10" s="16">
        <v>24.325066249999999</v>
      </c>
    </row>
    <row r="11" spans="2:6" x14ac:dyDescent="0.3">
      <c r="B11" s="15">
        <v>46174</v>
      </c>
      <c r="C11" s="16">
        <v>52.171999999999997</v>
      </c>
      <c r="D11" s="16">
        <v>24.345002518043998</v>
      </c>
    </row>
    <row r="12" spans="2:6" x14ac:dyDescent="0.3">
      <c r="B12" s="15">
        <v>46204</v>
      </c>
      <c r="C12" s="16">
        <v>52.316000000000003</v>
      </c>
      <c r="D12" s="16">
        <v>24.366134080009402</v>
      </c>
    </row>
    <row r="13" spans="2:6" x14ac:dyDescent="0.3">
      <c r="B13" s="15">
        <v>46235</v>
      </c>
      <c r="C13" s="16">
        <v>52.494</v>
      </c>
      <c r="D13" s="16">
        <v>24.39114468201825</v>
      </c>
    </row>
    <row r="14" spans="2:6" x14ac:dyDescent="0.3">
      <c r="B14" s="15">
        <v>46266</v>
      </c>
      <c r="C14" s="16">
        <v>52.469000000000001</v>
      </c>
      <c r="D14" s="16">
        <v>24.413256948719201</v>
      </c>
    </row>
    <row r="15" spans="2:6" x14ac:dyDescent="0.3">
      <c r="B15" s="15">
        <v>46296</v>
      </c>
      <c r="C15" s="16">
        <v>51.843000000000004</v>
      </c>
      <c r="D15" s="16">
        <v>24.4347842312099</v>
      </c>
    </row>
    <row r="16" spans="2:6" x14ac:dyDescent="0.3">
      <c r="B16" s="15">
        <v>46327</v>
      </c>
      <c r="C16" s="16">
        <v>52.051000000000002</v>
      </c>
      <c r="D16" s="16">
        <v>24.4581169861878</v>
      </c>
    </row>
    <row r="17" spans="2:4" ht="15" thickBot="1" x14ac:dyDescent="0.35">
      <c r="B17" s="17">
        <v>46357</v>
      </c>
      <c r="C17" s="18">
        <v>52.264000000000003</v>
      </c>
      <c r="D17" s="18">
        <v>24.480837682614002</v>
      </c>
    </row>
    <row r="18" spans="2:4" x14ac:dyDescent="0.3">
      <c r="B18" s="12">
        <v>46388</v>
      </c>
      <c r="C18" s="13">
        <v>51.368459718499956</v>
      </c>
      <c r="D18" s="13">
        <v>24.48799549053145</v>
      </c>
    </row>
    <row r="19" spans="2:4" x14ac:dyDescent="0.3">
      <c r="B19" s="15">
        <v>46419</v>
      </c>
      <c r="C19" s="16">
        <v>50.385216069771502</v>
      </c>
      <c r="D19" s="16">
        <v>24.515949127535851</v>
      </c>
    </row>
    <row r="20" spans="2:4" x14ac:dyDescent="0.3">
      <c r="B20" s="15">
        <v>46447</v>
      </c>
      <c r="C20" s="16">
        <v>48.003022991116325</v>
      </c>
      <c r="D20" s="16">
        <v>24.53916906493</v>
      </c>
    </row>
    <row r="21" spans="2:4" x14ac:dyDescent="0.3">
      <c r="B21" s="15">
        <v>46478</v>
      </c>
      <c r="C21" s="16">
        <v>40.233408642271719</v>
      </c>
      <c r="D21" s="16">
        <v>24.572275128633052</v>
      </c>
    </row>
    <row r="22" spans="2:4" x14ac:dyDescent="0.3">
      <c r="B22" s="15">
        <v>46508</v>
      </c>
      <c r="C22" s="16">
        <v>37.469017553194938</v>
      </c>
      <c r="D22" s="16">
        <v>24.598052490895398</v>
      </c>
    </row>
    <row r="23" spans="2:4" x14ac:dyDescent="0.3">
      <c r="B23" s="15">
        <v>46539</v>
      </c>
      <c r="C23" s="16">
        <v>36.694150353984014</v>
      </c>
      <c r="D23" s="16">
        <v>24.623998951688399</v>
      </c>
    </row>
    <row r="24" spans="2:4" x14ac:dyDescent="0.3">
      <c r="B24" s="15">
        <v>46569</v>
      </c>
      <c r="C24" s="16">
        <v>36.610380927042293</v>
      </c>
      <c r="D24" s="16">
        <v>24.651773315205297</v>
      </c>
    </row>
    <row r="25" spans="2:4" x14ac:dyDescent="0.3">
      <c r="B25" s="15">
        <v>46600</v>
      </c>
      <c r="C25" s="16">
        <v>36.632370401614502</v>
      </c>
      <c r="D25" s="16">
        <v>24.681426908450451</v>
      </c>
    </row>
    <row r="26" spans="2:4" x14ac:dyDescent="0.3">
      <c r="B26" s="15">
        <v>46631</v>
      </c>
      <c r="C26" s="16">
        <v>36.693103236147245</v>
      </c>
      <c r="D26" s="16">
        <v>24.71014106270345</v>
      </c>
    </row>
    <row r="27" spans="2:4" x14ac:dyDescent="0.3">
      <c r="B27" s="15">
        <v>46661</v>
      </c>
      <c r="C27" s="16">
        <v>36.483679668792945</v>
      </c>
      <c r="D27" s="16">
        <v>24.739137140263452</v>
      </c>
    </row>
    <row r="28" spans="2:4" x14ac:dyDescent="0.3">
      <c r="B28" s="15">
        <v>46692</v>
      </c>
      <c r="C28" s="16">
        <v>36.567449095734659</v>
      </c>
      <c r="D28" s="16">
        <v>24.769105111431948</v>
      </c>
    </row>
    <row r="29" spans="2:4" ht="15" thickBot="1" x14ac:dyDescent="0.35">
      <c r="B29" s="17">
        <v>46722</v>
      </c>
      <c r="C29" s="18">
        <v>36.951741341829809</v>
      </c>
      <c r="D29" s="18">
        <v>24.801088334437551</v>
      </c>
    </row>
    <row r="30" spans="2:4" x14ac:dyDescent="0.3">
      <c r="B30" s="19">
        <v>46753</v>
      </c>
      <c r="C30" s="13">
        <v>36.962135246623916</v>
      </c>
      <c r="D30" s="13">
        <v>24.8383775128137</v>
      </c>
    </row>
    <row r="31" spans="2:4" x14ac:dyDescent="0.3">
      <c r="B31" s="15">
        <v>46784</v>
      </c>
      <c r="C31" s="16">
        <v>36.487920162733253</v>
      </c>
      <c r="D31" s="16">
        <v>24.86909885983945</v>
      </c>
    </row>
    <row r="32" spans="2:4" x14ac:dyDescent="0.3">
      <c r="B32" s="15">
        <v>46813</v>
      </c>
      <c r="C32" s="16">
        <v>34.420555527344746</v>
      </c>
      <c r="D32" s="16">
        <v>24.896311565058447</v>
      </c>
    </row>
    <row r="33" spans="2:4" x14ac:dyDescent="0.3">
      <c r="B33" s="15">
        <v>46844</v>
      </c>
      <c r="C33" s="16">
        <v>28.90793838360003</v>
      </c>
      <c r="D33" s="16">
        <v>24.926494393163402</v>
      </c>
    </row>
    <row r="34" spans="2:4" x14ac:dyDescent="0.3">
      <c r="B34" s="15">
        <v>46874</v>
      </c>
      <c r="C34" s="16">
        <v>27.623827875536549</v>
      </c>
      <c r="D34" s="16">
        <v>24.950462410006999</v>
      </c>
    </row>
    <row r="35" spans="2:4" x14ac:dyDescent="0.3">
      <c r="B35" s="15">
        <v>46905</v>
      </c>
      <c r="C35" s="16">
        <v>27.288147535254396</v>
      </c>
      <c r="D35" s="16">
        <v>24.981819414891049</v>
      </c>
    </row>
    <row r="36" spans="2:4" x14ac:dyDescent="0.3">
      <c r="B36" s="15">
        <v>46935</v>
      </c>
      <c r="C36" s="16">
        <v>27.261506238406607</v>
      </c>
      <c r="D36" s="16">
        <v>25.015353713342851</v>
      </c>
    </row>
    <row r="37" spans="2:4" x14ac:dyDescent="0.3">
      <c r="B37" s="15">
        <v>46966</v>
      </c>
      <c r="C37" s="16">
        <v>27.128299754167653</v>
      </c>
      <c r="D37" s="16">
        <v>25.045754106346351</v>
      </c>
    </row>
    <row r="38" spans="2:4" x14ac:dyDescent="0.3">
      <c r="B38" s="15">
        <v>46997</v>
      </c>
      <c r="C38" s="16">
        <v>27.288147535254396</v>
      </c>
      <c r="D38" s="16">
        <v>25.078261524281949</v>
      </c>
    </row>
    <row r="39" spans="2:4" x14ac:dyDescent="0.3">
      <c r="B39" s="15">
        <v>47027</v>
      </c>
      <c r="C39" s="16">
        <v>27.299869705867422</v>
      </c>
      <c r="D39" s="16">
        <v>25.110779736525402</v>
      </c>
    </row>
    <row r="40" spans="2:4" x14ac:dyDescent="0.3">
      <c r="B40" s="15">
        <v>47058</v>
      </c>
      <c r="C40" s="16">
        <v>27.832695642823222</v>
      </c>
      <c r="D40" s="16">
        <v>25.142259251799249</v>
      </c>
    </row>
    <row r="41" spans="2:4" ht="15" thickBot="1" x14ac:dyDescent="0.35">
      <c r="B41" s="17">
        <v>47088</v>
      </c>
      <c r="C41" s="18">
        <v>28.258956392387866</v>
      </c>
      <c r="D41" s="18">
        <v>25.17374887620625</v>
      </c>
    </row>
    <row r="42" spans="2:4" x14ac:dyDescent="0.3">
      <c r="B42" s="19">
        <v>47119</v>
      </c>
      <c r="C42" s="20">
        <v>29.297309642662977</v>
      </c>
      <c r="D42" s="20">
        <v>25.2073489514184</v>
      </c>
    </row>
    <row r="43" spans="2:4" x14ac:dyDescent="0.3">
      <c r="B43" s="15">
        <v>47150</v>
      </c>
      <c r="C43" s="16">
        <v>29.154765002012269</v>
      </c>
      <c r="D43" s="16">
        <v>25.23885946803415</v>
      </c>
    </row>
    <row r="44" spans="2:4" x14ac:dyDescent="0.3">
      <c r="B44" s="15">
        <v>47178</v>
      </c>
      <c r="C44" s="16">
        <v>28.83678080363762</v>
      </c>
      <c r="D44" s="16">
        <v>25.268278404226848</v>
      </c>
    </row>
    <row r="45" spans="2:4" x14ac:dyDescent="0.3">
      <c r="B45" s="15">
        <v>47209</v>
      </c>
      <c r="C45" s="16">
        <v>25.246848853711406</v>
      </c>
      <c r="D45" s="16">
        <v>25.301910828665399</v>
      </c>
    </row>
    <row r="46" spans="2:4" x14ac:dyDescent="0.3">
      <c r="B46" s="15">
        <v>47239</v>
      </c>
      <c r="C46" s="16">
        <v>24.698600235824077</v>
      </c>
      <c r="D46" s="16">
        <v>25.332400148344348</v>
      </c>
    </row>
    <row r="47" spans="2:4" x14ac:dyDescent="0.3">
      <c r="B47" s="15">
        <v>47270</v>
      </c>
      <c r="C47" s="16">
        <v>24.19421150736774</v>
      </c>
      <c r="D47" s="16">
        <v>25.3641771302111</v>
      </c>
    </row>
    <row r="48" spans="2:4" x14ac:dyDescent="0.3">
      <c r="B48" s="15">
        <v>47300</v>
      </c>
      <c r="C48" s="16">
        <v>24.018771949643796</v>
      </c>
      <c r="D48" s="16">
        <v>25.395721781981599</v>
      </c>
    </row>
    <row r="49" spans="2:4" x14ac:dyDescent="0.3">
      <c r="B49" s="15">
        <v>47331</v>
      </c>
      <c r="C49" s="16">
        <v>24.128421673221258</v>
      </c>
      <c r="D49" s="16">
        <v>25.426256614467448</v>
      </c>
    </row>
    <row r="50" spans="2:4" x14ac:dyDescent="0.3">
      <c r="B50" s="15">
        <v>47362</v>
      </c>
      <c r="C50" s="16">
        <v>24.857592335011404</v>
      </c>
      <c r="D50" s="16">
        <v>25.459853734854647</v>
      </c>
    </row>
    <row r="51" spans="2:4" x14ac:dyDescent="0.3">
      <c r="B51" s="15">
        <v>47392</v>
      </c>
      <c r="C51" s="16">
        <v>24.935443638751405</v>
      </c>
      <c r="D51" s="16">
        <v>25.488367615908</v>
      </c>
    </row>
    <row r="52" spans="2:4" x14ac:dyDescent="0.3">
      <c r="B52" s="15">
        <v>47423</v>
      </c>
      <c r="C52" s="16">
        <v>25.39706897501253</v>
      </c>
      <c r="D52" s="16">
        <v>25.519944301537898</v>
      </c>
    </row>
    <row r="53" spans="2:4" ht="15" thickBot="1" x14ac:dyDescent="0.35">
      <c r="B53" s="17">
        <v>47453</v>
      </c>
      <c r="C53" s="18">
        <v>25.830185383143522</v>
      </c>
      <c r="D53" s="18">
        <v>25.552548127775101</v>
      </c>
    </row>
    <row r="54" spans="2:4" x14ac:dyDescent="0.3">
      <c r="B54" s="19">
        <v>47484</v>
      </c>
      <c r="C54" s="20">
        <v>25.737996456074274</v>
      </c>
      <c r="D54" s="20">
        <v>25.58210283709235</v>
      </c>
    </row>
    <row r="55" spans="2:4" x14ac:dyDescent="0.3">
      <c r="B55" s="15">
        <v>47515</v>
      </c>
      <c r="C55" s="16">
        <v>25.727132874926177</v>
      </c>
      <c r="D55" s="16">
        <v>25.613703679403002</v>
      </c>
    </row>
    <row r="56" spans="2:4" x14ac:dyDescent="0.3">
      <c r="B56" s="15">
        <v>47543</v>
      </c>
      <c r="C56" s="16">
        <v>25.705405712629975</v>
      </c>
      <c r="D56" s="16">
        <v>25.6422533719734</v>
      </c>
    </row>
    <row r="57" spans="2:4" x14ac:dyDescent="0.3">
      <c r="B57" s="15">
        <v>47574</v>
      </c>
      <c r="C57" s="16">
        <v>24.273585717310635</v>
      </c>
      <c r="D57" s="16">
        <v>25.673869706068601</v>
      </c>
    </row>
    <row r="58" spans="2:4" x14ac:dyDescent="0.3">
      <c r="B58" s="15">
        <v>47604</v>
      </c>
      <c r="C58" s="16">
        <v>23.833610680812658</v>
      </c>
      <c r="D58" s="16">
        <v>25.704473908545999</v>
      </c>
    </row>
    <row r="59" spans="2:4" x14ac:dyDescent="0.3">
      <c r="B59" s="15">
        <v>47635</v>
      </c>
      <c r="C59" s="16">
        <v>23.328454157426091</v>
      </c>
      <c r="D59" s="16">
        <v>25.733809584905899</v>
      </c>
    </row>
    <row r="60" spans="2:4" x14ac:dyDescent="0.3">
      <c r="B60" s="15">
        <v>47665</v>
      </c>
      <c r="C60" s="16">
        <v>22.377890806967496</v>
      </c>
      <c r="D60" s="16">
        <v>25.75770697458055</v>
      </c>
    </row>
    <row r="61" spans="2:4" x14ac:dyDescent="0.3">
      <c r="B61" s="15">
        <v>47696</v>
      </c>
      <c r="C61" s="16">
        <v>22.779843309447134</v>
      </c>
      <c r="D61" s="16">
        <v>25.784160674967502</v>
      </c>
    </row>
    <row r="62" spans="2:4" x14ac:dyDescent="0.3">
      <c r="B62" s="15">
        <v>47727</v>
      </c>
      <c r="C62" s="16">
        <v>23.518566827517812</v>
      </c>
      <c r="D62" s="16">
        <v>25.8114631749987</v>
      </c>
    </row>
    <row r="63" spans="2:4" x14ac:dyDescent="0.3">
      <c r="B63" s="15">
        <v>47757</v>
      </c>
      <c r="C63" s="16">
        <v>24.330076339280748</v>
      </c>
      <c r="D63" s="16">
        <v>25.836202077039999</v>
      </c>
    </row>
    <row r="64" spans="2:4" x14ac:dyDescent="0.3">
      <c r="B64" s="15">
        <v>47788</v>
      </c>
      <c r="C64" s="16">
        <v>25.177435668832402</v>
      </c>
      <c r="D64" s="16">
        <v>25.862642916464402</v>
      </c>
    </row>
    <row r="65" spans="2:4" ht="15" thickBot="1" x14ac:dyDescent="0.35">
      <c r="B65" s="17">
        <v>47818</v>
      </c>
      <c r="C65" s="18">
        <v>25.650001448774677</v>
      </c>
      <c r="D65" s="18">
        <v>25.889079422303499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Forward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Pasminková Anna</dc:creator>
  <cp:lastModifiedBy>Tomáš Daniel</cp:lastModifiedBy>
  <dcterms:created xsi:type="dcterms:W3CDTF">2026-05-20T08:17:44Z</dcterms:created>
  <dcterms:modified xsi:type="dcterms:W3CDTF">2026-05-20T08:26:01Z</dcterms:modified>
</cp:coreProperties>
</file>