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/>
  <workbookPr defaultThemeVersion="166925"/>
  <mc:AlternateContent xmlns:mc="http://schemas.openxmlformats.org/markup-compatibility/2006">
    <mc:Choice Requires="x15">
      <x15ac:absPath xmlns:x15ac="http://schemas.microsoft.com/office/spreadsheetml/2010/11/ac" url="X:\Nakup _ NEW\01_Pricing\"/>
    </mc:Choice>
  </mc:AlternateContent>
  <xr:revisionPtr revIDLastSave="0" documentId="8_{64170A5C-7A3D-4679-B702-85EE462D9673}" xr6:coauthVersionLast="36" xr6:coauthVersionMax="36" xr10:uidLastSave="{00000000-0000-0000-0000-000000000000}"/>
  <bookViews>
    <workbookView xWindow="-120" yWindow="-120" windowWidth="29040" windowHeight="17520" firstSheet="1" activeTab="1" xr2:uid="{713BDBD3-0E28-468A-A480-713675C1F873}"/>
  </bookViews>
  <sheets>
    <sheet name="Settings" sheetId="1" state="veryHidden" r:id="rId1"/>
    <sheet name="Forward" sheetId="2" r:id="rId2"/>
  </sheets>
  <externalReferences>
    <externalReference r:id="rId3"/>
  </externalReferenc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" i="1" l="1"/>
  <c r="C3" i="1"/>
  <c r="C4" i="1" s="1"/>
  <c r="E3" i="1" l="1"/>
  <c r="F3" i="1"/>
  <c r="H3" i="1"/>
  <c r="J3" i="1" l="1"/>
  <c r="I3" i="1"/>
  <c r="G3" i="1"/>
  <c r="C7" i="1" s="1"/>
</calcChain>
</file>

<file path=xl/sharedStrings.xml><?xml version="1.0" encoding="utf-8"?>
<sst xmlns="http://schemas.openxmlformats.org/spreadsheetml/2006/main" count="32" uniqueCount="32">
  <si>
    <t>SPP CZ | Denná aktualizácia forwardových cien NCG a FX rate</t>
  </si>
  <si>
    <t>YYYY</t>
  </si>
  <si>
    <t>MM</t>
  </si>
  <si>
    <t>MM_MMMM</t>
  </si>
  <si>
    <t>DD</t>
  </si>
  <si>
    <t>DD_MM_YYYY</t>
  </si>
  <si>
    <t>YYYY_MM_DD</t>
  </si>
  <si>
    <t>Januar</t>
  </si>
  <si>
    <t>Aktuálny dátum:</t>
  </si>
  <si>
    <t>Februar</t>
  </si>
  <si>
    <t>Aktuálny dátum (YYMMDD):</t>
  </si>
  <si>
    <t>Marec</t>
  </si>
  <si>
    <t>Dátum a čas aktualizácie:</t>
  </si>
  <si>
    <t>April</t>
  </si>
  <si>
    <t>Maj</t>
  </si>
  <si>
    <t>Cesta k zdrojovej zložke:</t>
  </si>
  <si>
    <t>Jun</t>
  </si>
  <si>
    <t>Verzia zdrojového súboru použitá na aktualizáciu:</t>
  </si>
  <si>
    <t>Kalkulacka_new_version_2026_07_28.xlsx</t>
  </si>
  <si>
    <t>Jul</t>
  </si>
  <si>
    <t>August</t>
  </si>
  <si>
    <t>Cesta k cieľovej zložke:</t>
  </si>
  <si>
    <t>\\Hqs0338\s_ba\MM\DS_SPP CZ a.s\Kalkulacky\plyn\iba forward\</t>
  </si>
  <si>
    <t>September</t>
  </si>
  <si>
    <t>Oktober</t>
  </si>
  <si>
    <t>November</t>
  </si>
  <si>
    <t>December</t>
  </si>
  <si>
    <t>Aktualizované:</t>
  </si>
  <si>
    <t>NCG</t>
  </si>
  <si>
    <t>FX rate</t>
  </si>
  <si>
    <t>EUR/MWh</t>
  </si>
  <si>
    <t>EUR/CZK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</si>
</sst>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d/m/yyyy\ h:mm;@"/>
    <numFmt numFmtId="166" formatCode="_-* #,##0.0000_-;\-* #,##0.0000_-;_-* &quot;-&quot;??_-;_-@_-"/>
  </numFmts>
  <fonts count="11" x14ac:knownFonts="1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1"/>
      <color rgb="FF000000"/>
      <name val="Calibri"/>
      <family val="2"/>
      <charset val="238"/>
    </font>
    <font>
      <strike/>
      <sz val="11"/>
      <color rgb="FF969696"/>
      <name val="Calibri"/>
      <family val="2"/>
      <charset val="238"/>
    </font>
    <font>
      <u/>
      <sz val="11"/>
      <color theme="10"/>
      <name val="Calibri"/>
      <family val="2"/>
      <charset val="238"/>
      <scheme val="minor"/>
    </font>
    <font>
      <b/>
      <sz val="14"/>
      <color theme="1"/>
      <name val="Calibri"/>
      <family val="2"/>
      <charset val="238"/>
      <scheme val="minor"/>
    </font>
    <font>
      <b/>
      <sz val="11"/>
      <color theme="2" tint="-0.249977111117893"/>
      <name val="Calibri"/>
      <family val="2"/>
      <charset val="238"/>
      <scheme val="minor"/>
    </font>
    <font>
      <sz val="11"/>
      <color theme="2" tint="-0.249977111117893"/>
      <name val="Calibri"/>
      <family val="2"/>
      <charset val="238"/>
      <scheme val="minor"/>
    </font>
    <font>
      <sz val="11"/>
      <color theme="2"/>
      <name val="Calibri"/>
      <family val="2"/>
      <charset val="238"/>
      <scheme val="minor"/>
    </font>
    <font>
      <sz val="10"/>
      <color theme="1"/>
      <name val="Calibri"/>
      <family val="2"/>
      <charset val="23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7">
    <border>
      <left/>
      <right/>
      <top/>
      <bottom/>
      <diagonal/>
    </border>
    <border>
      <left style="thin">
        <color theme="2" tint="-9.9948118533890809E-2"/>
      </left>
      <right style="thin">
        <color theme="2" tint="-9.9948118533890809E-2"/>
      </right>
      <top style="thin">
        <color theme="2" tint="-9.9948118533890809E-2"/>
      </top>
      <bottom style="thin">
        <color theme="2" tint="-9.9948118533890809E-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1">
    <xf numFmtId="0" fontId="0" fillId="0" borderId="0" xfId="0"/>
    <xf numFmtId="0" fontId="6" fillId="0" borderId="0" xfId="0" applyFont="1"/>
    <xf numFmtId="0" fontId="7" fillId="0" borderId="1" xfId="0" applyFont="1" applyBorder="1"/>
    <xf numFmtId="0" fontId="8" fillId="0" borderId="1" xfId="0" applyFont="1" applyBorder="1"/>
    <xf numFmtId="0" fontId="2" fillId="0" borderId="0" xfId="0" applyFont="1"/>
    <xf numFmtId="14" fontId="0" fillId="0" borderId="0" xfId="0" applyNumberFormat="1" applyAlignment="1">
      <alignment horizontal="left"/>
    </xf>
    <xf numFmtId="14" fontId="0" fillId="0" borderId="0" xfId="0" applyNumberFormat="1" applyAlignment="1">
      <alignment horizontal="left"/>
    </xf>
    <xf numFmtId="0" fontId="9" fillId="0" borderId="0" xfId="0" applyFont="1"/>
    <xf numFmtId="165" fontId="0" fillId="0" borderId="0" xfId="0" applyNumberFormat="1" applyAlignment="1">
      <alignment horizontal="left"/>
    </xf>
    <xf numFmtId="0" fontId="5" fillId="2" borderId="2" xfId="2" applyFill="1" applyBorder="1"/>
    <xf numFmtId="0" fontId="2" fillId="3" borderId="3" xfId="0" applyFont="1" applyFill="1" applyBorder="1" applyAlignment="1">
      <alignment horizontal="center"/>
    </xf>
    <xf numFmtId="0" fontId="10" fillId="4" borderId="4" xfId="0" applyFont="1" applyFill="1" applyBorder="1" applyAlignment="1">
      <alignment horizontal="center"/>
    </xf>
    <xf numFmtId="17" fontId="2" fillId="4" borderId="3" xfId="0" applyNumberFormat="1" applyFont="1" applyFill="1" applyBorder="1"/>
    <xf numFmtId="166" fontId="0" fillId="0" borderId="3" xfId="1" applyNumberFormat="1" applyFont="1" applyBorder="1"/>
    <xf numFmtId="22" fontId="0" fillId="0" borderId="0" xfId="0" applyNumberFormat="1"/>
    <xf numFmtId="17" fontId="2" fillId="4" borderId="5" xfId="0" applyNumberFormat="1" applyFont="1" applyFill="1" applyBorder="1"/>
    <xf numFmtId="166" fontId="0" fillId="0" borderId="5" xfId="1" applyNumberFormat="1" applyFont="1" applyBorder="1"/>
    <xf numFmtId="17" fontId="2" fillId="4" borderId="4" xfId="0" applyNumberFormat="1" applyFont="1" applyFill="1" applyBorder="1"/>
    <xf numFmtId="166" fontId="0" fillId="0" borderId="4" xfId="1" applyNumberFormat="1" applyFont="1" applyBorder="1"/>
    <xf numFmtId="17" fontId="2" fillId="4" borderId="6" xfId="0" applyNumberFormat="1" applyFont="1" applyFill="1" applyBorder="1"/>
    <xf numFmtId="166" fontId="0" fillId="0" borderId="6" xfId="1" applyNumberFormat="1" applyFont="1" applyBorder="1"/>
  </cellXfs>
  <cellStyles count="3">
    <cellStyle name="Čárka" xfId="1" builtinId="3"/>
    <cellStyle name="Hypertextový odkaz" xfId="2" builtinId="8"/>
    <cellStyle name="Normální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2</xdr:col>
          <xdr:colOff>0</xdr:colOff>
          <xdr:row>15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Aktualizovať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13</xdr:row>
          <xdr:rowOff>0</xdr:rowOff>
        </xdr:from>
        <xdr:to>
          <xdr:col>2</xdr:col>
          <xdr:colOff>3048000</xdr:colOff>
          <xdr:row>15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Uložiť s novým dátumom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3048000</xdr:colOff>
          <xdr:row>13</xdr:row>
          <xdr:rowOff>0</xdr:rowOff>
        </xdr:from>
        <xdr:to>
          <xdr:col>2</xdr:col>
          <xdr:colOff>6096000</xdr:colOff>
          <xdr:row>15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0" i="0" u="none" strike="sngStrike" baseline="0">
                  <a:solidFill>
                    <a:srgbClr val="969696"/>
                  </a:solidFill>
                  <a:latin typeface="Calibri"/>
                  <a:ea typeface="Calibri"/>
                  <a:cs typeface="Calibri"/>
                </a:rPr>
                <a:t>Odoslať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qs0338\s_ba\MM\DS_SPP%20CZ%20a.s\Kalkulacky\plyn\iba%20forward\SPP%20CZ%20Fw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tings"/>
      <sheetName val="Forward"/>
      <sheetName val="SPP CZ Fwd"/>
    </sheetNames>
    <definedNames>
      <definedName name="Refresh"/>
      <definedName name="Save"/>
    </definedNames>
    <sheetDataSet>
      <sheetData sheetId="0"/>
      <sheetData sheetId="1"/>
      <sheetData sheetId="2" refreshError="1"/>
    </sheetDataSet>
  </externalBook>
</externalLink>
</file>

<file path=xl/theme/theme1.xml><?xml version="1.0" encoding="utf-8"?>
<a:theme xmlns:a="http://schemas.openxmlformats.org/drawingml/2006/main" name="Motiv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file:///C:\Users\capousek\AppData\Local\Microsoft\Windows\INetCache\Content.Outlook\RZEOAQPD\" TargetMode="External"/><Relationship Id="rId1" Type="http://schemas.openxmlformats.org/officeDocument/2006/relationships/hyperlink" Target="file:///\\spp.sk\shared\BA\Averages\SPOT\2024\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9E276-8FCF-4691-9F27-C0B87F8ADE3A}">
  <sheetPr codeName="Hárok1"/>
  <dimension ref="B1:M13"/>
  <sheetViews>
    <sheetView showGridLines="0" workbookViewId="0"/>
  </sheetViews>
  <sheetFormatPr defaultRowHeight="14.4" x14ac:dyDescent="0.3"/>
  <cols>
    <col min="2" max="2" width="45.6640625" bestFit="1" customWidth="1"/>
    <col min="3" max="3" width="91.5546875" customWidth="1"/>
    <col min="4" max="4" width="9.44140625" bestFit="1" customWidth="1"/>
    <col min="7" max="7" width="14.109375" bestFit="1" customWidth="1"/>
    <col min="9" max="10" width="14" bestFit="1" customWidth="1"/>
    <col min="13" max="13" width="10.88671875" bestFit="1" customWidth="1"/>
  </cols>
  <sheetData>
    <row r="1" spans="2:13" ht="18" x14ac:dyDescent="0.35">
      <c r="B1" s="1" t="s">
        <v>0</v>
      </c>
    </row>
    <row r="2" spans="2:13" ht="20.25" customHeight="1" x14ac:dyDescent="0.3">
      <c r="E2" s="2" t="s">
        <v>1</v>
      </c>
      <c r="F2" s="2" t="s">
        <v>2</v>
      </c>
      <c r="G2" s="2" t="s">
        <v>3</v>
      </c>
      <c r="H2" s="2" t="s">
        <v>4</v>
      </c>
      <c r="I2" s="2" t="s">
        <v>5</v>
      </c>
      <c r="J2" s="2" t="s">
        <v>6</v>
      </c>
      <c r="L2" s="3">
        <v>1</v>
      </c>
      <c r="M2" s="3" t="s">
        <v>7</v>
      </c>
    </row>
    <row r="3" spans="2:13" x14ac:dyDescent="0.3">
      <c r="B3" s="4" t="s">
        <v>8</v>
      </c>
      <c r="C3" s="5">
        <f ca="1">TODAY()</f>
        <v>46231</v>
      </c>
      <c r="E3" s="3">
        <f ca="1">YEAR(C3)</f>
        <v>2026</v>
      </c>
      <c r="F3" s="3" t="str">
        <f ca="1">RIGHT(LEFT(C4,4),2)</f>
        <v>07</v>
      </c>
      <c r="G3" s="3" t="str">
        <f ca="1">F3&amp;"_"&amp;VLOOKUP(MONTH(C3),Settings!L2:M13,2)</f>
        <v>07_Jul</v>
      </c>
      <c r="H3" s="3" t="str">
        <f ca="1">RIGHT(C4,2)</f>
        <v>28</v>
      </c>
      <c r="I3" s="3" t="str">
        <f ca="1">F3&amp;"_"&amp;H3&amp;"_"&amp;E3</f>
        <v>07_28_2026</v>
      </c>
      <c r="J3" s="3" t="str">
        <f ca="1">E3&amp;"_"&amp;F3&amp;"_"&amp;H3</f>
        <v>2026_07_28</v>
      </c>
      <c r="L3" s="3">
        <v>2</v>
      </c>
      <c r="M3" s="3" t="s">
        <v>9</v>
      </c>
    </row>
    <row r="4" spans="2:13" x14ac:dyDescent="0.3">
      <c r="B4" s="4" t="s">
        <v>10</v>
      </c>
      <c r="C4" s="6" t="str">
        <f ca="1">_xlfn.CONCAT(RIGHT(YEAR(C3),2),TEXT(C3,"mm"),TEXT(C3,"dd"))</f>
        <v>260728</v>
      </c>
      <c r="D4" s="7"/>
      <c r="L4" s="3">
        <v>3</v>
      </c>
      <c r="M4" s="3" t="s">
        <v>11</v>
      </c>
    </row>
    <row r="5" spans="2:13" x14ac:dyDescent="0.3">
      <c r="B5" s="4" t="s">
        <v>12</v>
      </c>
      <c r="C5" s="8">
        <f>Forward!C2</f>
        <v>46231.413703703707</v>
      </c>
      <c r="L5" s="3">
        <v>4</v>
      </c>
      <c r="M5" s="3" t="s">
        <v>13</v>
      </c>
    </row>
    <row r="6" spans="2:13" x14ac:dyDescent="0.3">
      <c r="L6" s="3">
        <v>5</v>
      </c>
      <c r="M6" s="3" t="s">
        <v>14</v>
      </c>
    </row>
    <row r="7" spans="2:13" x14ac:dyDescent="0.3">
      <c r="B7" s="4" t="s">
        <v>15</v>
      </c>
      <c r="C7" s="9" t="str">
        <f ca="1">"\\Hqs0338\s_ba\OPR\SPO\Trading analyses\Kalkulacka data\"&amp;E3&amp;"\"&amp;G3&amp;"\"&amp;I3&amp;"\"</f>
        <v>\\Hqs0338\s_ba\OPR\SPO\Trading analyses\Kalkulacka data\2026\07_Jul\07_28_2026\</v>
      </c>
      <c r="L7" s="3">
        <v>6</v>
      </c>
      <c r="M7" s="3" t="s">
        <v>16</v>
      </c>
    </row>
    <row r="8" spans="2:13" x14ac:dyDescent="0.3">
      <c r="B8" s="4" t="s">
        <v>17</v>
      </c>
      <c r="C8" t="s">
        <v>18</v>
      </c>
      <c r="L8" s="3">
        <v>7</v>
      </c>
      <c r="M8" s="3" t="s">
        <v>19</v>
      </c>
    </row>
    <row r="9" spans="2:13" x14ac:dyDescent="0.3">
      <c r="L9" s="3">
        <v>8</v>
      </c>
      <c r="M9" s="3" t="s">
        <v>20</v>
      </c>
    </row>
    <row r="10" spans="2:13" x14ac:dyDescent="0.3">
      <c r="B10" s="4" t="s">
        <v>21</v>
      </c>
      <c r="C10" s="9" t="s">
        <v>22</v>
      </c>
      <c r="L10" s="3">
        <v>9</v>
      </c>
      <c r="M10" s="3" t="s">
        <v>23</v>
      </c>
    </row>
    <row r="11" spans="2:13" x14ac:dyDescent="0.3">
      <c r="L11" s="3">
        <v>10</v>
      </c>
      <c r="M11" s="3" t="s">
        <v>24</v>
      </c>
    </row>
    <row r="12" spans="2:13" x14ac:dyDescent="0.3">
      <c r="L12" s="3">
        <v>11</v>
      </c>
      <c r="M12" s="3" t="s">
        <v>25</v>
      </c>
    </row>
    <row r="13" spans="2:13" x14ac:dyDescent="0.3">
      <c r="L13" s="3">
        <v>12</v>
      </c>
      <c r="M13" s="3" t="s">
        <v>26</v>
      </c>
    </row>
  </sheetData>
  <hyperlinks>
    <hyperlink ref="C7" r:id="rId1" display="\\spp.sk\shared\BA\Averages\SPOT\2024\" xr:uid="{E0D6F136-C83F-4980-A332-156E5B74086E}"/>
    <hyperlink ref="C10" r:id="rId2" xr:uid="{DE6C04A3-E3C0-4484-869A-DB6C6A7391B8}"/>
  </hyperlink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1]!Refresh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2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7" name="Button 2">
              <controlPr defaultSize="0" print="0" autoFill="0" autoPict="0" macro="[1]!Save">
                <anchor moveWithCells="1" siz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2</xdr:col>
                    <xdr:colOff>3048000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8" name="Button 3">
              <controlPr defaultSize="0" print="0" autoFill="0" autoPict="0">
                <anchor moveWithCells="1" sizeWithCells="1">
                  <from>
                    <xdr:col>2</xdr:col>
                    <xdr:colOff>3048000</xdr:colOff>
                    <xdr:row>13</xdr:row>
                    <xdr:rowOff>0</xdr:rowOff>
                  </from>
                  <to>
                    <xdr:col>2</xdr:col>
                    <xdr:colOff>6096000</xdr:colOff>
                    <xdr:row>15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4FFCD-6DE2-432A-9C21-82DCFAB500AF}">
  <sheetPr codeName="Hárok2"/>
  <dimension ref="B2:F65"/>
  <sheetViews>
    <sheetView showGridLines="0" tabSelected="1" workbookViewId="0"/>
  </sheetViews>
  <sheetFormatPr defaultRowHeight="14.4" x14ac:dyDescent="0.3"/>
  <cols>
    <col min="1" max="1" width="5.88671875" customWidth="1"/>
    <col min="2" max="2" width="14.33203125" bestFit="1" customWidth="1"/>
    <col min="3" max="3" width="13.88671875" customWidth="1"/>
    <col min="4" max="4" width="18.33203125" customWidth="1"/>
    <col min="6" max="6" width="14.33203125" bestFit="1" customWidth="1"/>
    <col min="7" max="7" width="9.109375" bestFit="1" customWidth="1"/>
  </cols>
  <sheetData>
    <row r="2" spans="2:6" x14ac:dyDescent="0.3">
      <c r="B2" s="4" t="s">
        <v>27</v>
      </c>
      <c r="C2" s="6">
        <v>46231.413703703707</v>
      </c>
    </row>
    <row r="3" spans="2:6" ht="15" thickBot="1" x14ac:dyDescent="0.35"/>
    <row r="4" spans="2:6" x14ac:dyDescent="0.3">
      <c r="C4" s="10" t="s">
        <v>28</v>
      </c>
      <c r="D4" s="10" t="s">
        <v>29</v>
      </c>
    </row>
    <row r="5" spans="2:6" ht="15" thickBot="1" x14ac:dyDescent="0.35">
      <c r="C5" s="11" t="s">
        <v>30</v>
      </c>
      <c r="D5" s="11" t="s">
        <v>31</v>
      </c>
    </row>
    <row r="6" spans="2:6" x14ac:dyDescent="0.3">
      <c r="B6" s="12">
        <v>46023</v>
      </c>
      <c r="C6" s="13">
        <v>36.018999999999998</v>
      </c>
      <c r="D6" s="13">
        <v>24.278099999999998</v>
      </c>
      <c r="F6" s="14"/>
    </row>
    <row r="7" spans="2:6" x14ac:dyDescent="0.3">
      <c r="B7" s="15">
        <v>46054</v>
      </c>
      <c r="C7" s="16">
        <v>35.524000000000001</v>
      </c>
      <c r="D7" s="16">
        <v>24.26</v>
      </c>
    </row>
    <row r="8" spans="2:6" x14ac:dyDescent="0.3">
      <c r="B8" s="15">
        <v>46082</v>
      </c>
      <c r="C8" s="16">
        <v>52.262580645161286</v>
      </c>
      <c r="D8" s="16">
        <v>24.437000000000001</v>
      </c>
    </row>
    <row r="9" spans="2:6" x14ac:dyDescent="0.3">
      <c r="B9" s="15">
        <v>46113</v>
      </c>
      <c r="C9" s="16">
        <v>45.8</v>
      </c>
      <c r="D9" s="16">
        <v>24.382000000000001</v>
      </c>
    </row>
    <row r="10" spans="2:6" x14ac:dyDescent="0.3">
      <c r="B10" s="15">
        <v>46143</v>
      </c>
      <c r="C10" s="16">
        <v>47.156161290322565</v>
      </c>
      <c r="D10" s="16">
        <v>24.312899999999999</v>
      </c>
    </row>
    <row r="11" spans="2:6" x14ac:dyDescent="0.3">
      <c r="B11" s="15">
        <v>46174</v>
      </c>
      <c r="C11" s="16">
        <v>44.981433333333356</v>
      </c>
      <c r="D11" s="16">
        <v>24.21</v>
      </c>
    </row>
    <row r="12" spans="2:6" x14ac:dyDescent="0.3">
      <c r="B12" s="15">
        <v>46204</v>
      </c>
      <c r="C12" s="16">
        <v>53.507677419354842</v>
      </c>
      <c r="D12" s="16">
        <v>24.165821450000003</v>
      </c>
    </row>
    <row r="13" spans="2:6" x14ac:dyDescent="0.3">
      <c r="B13" s="15">
        <v>46235</v>
      </c>
      <c r="C13" s="16">
        <v>58.628</v>
      </c>
      <c r="D13" s="16">
        <v>24.1792507875751</v>
      </c>
    </row>
    <row r="14" spans="2:6" x14ac:dyDescent="0.3">
      <c r="B14" s="15">
        <v>46266</v>
      </c>
      <c r="C14" s="16">
        <v>58.823</v>
      </c>
      <c r="D14" s="16">
        <v>24.203716160557498</v>
      </c>
    </row>
    <row r="15" spans="2:6" x14ac:dyDescent="0.3">
      <c r="B15" s="15">
        <v>46296</v>
      </c>
      <c r="C15" s="16">
        <v>59.042999999999999</v>
      </c>
      <c r="D15" s="16">
        <v>24.228095903204903</v>
      </c>
    </row>
    <row r="16" spans="2:6" x14ac:dyDescent="0.3">
      <c r="B16" s="15">
        <v>46327</v>
      </c>
      <c r="C16" s="16">
        <v>59.292999999999999</v>
      </c>
      <c r="D16" s="16">
        <v>24.255740308011351</v>
      </c>
    </row>
    <row r="17" spans="2:4" ht="15" thickBot="1" x14ac:dyDescent="0.35">
      <c r="B17" s="17">
        <v>46357</v>
      </c>
      <c r="C17" s="18">
        <v>58.924999999999997</v>
      </c>
      <c r="D17" s="18">
        <v>24.280303301643748</v>
      </c>
    </row>
    <row r="18" spans="2:4" x14ac:dyDescent="0.3">
      <c r="B18" s="12">
        <v>46388</v>
      </c>
      <c r="C18" s="13">
        <v>58.641268433761233</v>
      </c>
      <c r="D18" s="13">
        <v>24.278359264469302</v>
      </c>
    </row>
    <row r="19" spans="2:4" x14ac:dyDescent="0.3">
      <c r="B19" s="15">
        <v>46419</v>
      </c>
      <c r="C19" s="16">
        <v>57.124531866752676</v>
      </c>
      <c r="D19" s="16">
        <v>24.304487903805949</v>
      </c>
    </row>
    <row r="20" spans="2:4" x14ac:dyDescent="0.3">
      <c r="B20" s="15">
        <v>46447</v>
      </c>
      <c r="C20" s="16">
        <v>53.000709805289588</v>
      </c>
      <c r="D20" s="16">
        <v>24.326275018095401</v>
      </c>
    </row>
    <row r="21" spans="2:4" x14ac:dyDescent="0.3">
      <c r="B21" s="15">
        <v>46478</v>
      </c>
      <c r="C21" s="16">
        <v>45.048735943373977</v>
      </c>
      <c r="D21" s="16">
        <v>24.356184668111702</v>
      </c>
    </row>
    <row r="22" spans="2:4" x14ac:dyDescent="0.3">
      <c r="B22" s="15">
        <v>46508</v>
      </c>
      <c r="C22" s="16">
        <v>40.896903015078315</v>
      </c>
      <c r="D22" s="16">
        <v>24.37965259282425</v>
      </c>
    </row>
    <row r="23" spans="2:4" x14ac:dyDescent="0.3">
      <c r="B23" s="15">
        <v>46539</v>
      </c>
      <c r="C23" s="16">
        <v>40.191444146702231</v>
      </c>
      <c r="D23" s="16">
        <v>24.404173646384649</v>
      </c>
    </row>
    <row r="24" spans="2:4" x14ac:dyDescent="0.3">
      <c r="B24" s="15">
        <v>46569</v>
      </c>
      <c r="C24" s="16">
        <v>39.947645861307564</v>
      </c>
      <c r="D24" s="16">
        <v>24.4274979994543</v>
      </c>
    </row>
    <row r="25" spans="2:4" x14ac:dyDescent="0.3">
      <c r="B25" s="15">
        <v>46600</v>
      </c>
      <c r="C25" s="16">
        <v>39.890586688130092</v>
      </c>
      <c r="D25" s="16">
        <v>24.456990985823403</v>
      </c>
    </row>
    <row r="26" spans="2:4" x14ac:dyDescent="0.3">
      <c r="B26" s="15">
        <v>46631</v>
      </c>
      <c r="C26" s="16">
        <v>39.824190559341751</v>
      </c>
      <c r="D26" s="16">
        <v>24.484589996388102</v>
      </c>
    </row>
    <row r="27" spans="2:4" x14ac:dyDescent="0.3">
      <c r="B27" s="15">
        <v>46661</v>
      </c>
      <c r="C27" s="16">
        <v>39.450712334907358</v>
      </c>
      <c r="D27" s="16">
        <v>24.512210779967599</v>
      </c>
    </row>
    <row r="28" spans="2:4" x14ac:dyDescent="0.3">
      <c r="B28" s="15">
        <v>46692</v>
      </c>
      <c r="C28" s="16">
        <v>39.165416469019974</v>
      </c>
      <c r="D28" s="16">
        <v>24.539820297250451</v>
      </c>
    </row>
    <row r="29" spans="2:4" ht="15" thickBot="1" x14ac:dyDescent="0.35">
      <c r="B29" s="17">
        <v>46722</v>
      </c>
      <c r="C29" s="18">
        <v>39.149854876335212</v>
      </c>
      <c r="D29" s="18">
        <v>24.565769233600001</v>
      </c>
    </row>
    <row r="30" spans="2:4" x14ac:dyDescent="0.3">
      <c r="B30" s="19">
        <v>46753</v>
      </c>
      <c r="C30" s="13">
        <v>39.360305585842845</v>
      </c>
      <c r="D30" s="13">
        <v>24.59516836935655</v>
      </c>
    </row>
    <row r="31" spans="2:4" x14ac:dyDescent="0.3">
      <c r="B31" s="15">
        <v>46784</v>
      </c>
      <c r="C31" s="16">
        <v>38.172910332596217</v>
      </c>
      <c r="D31" s="16">
        <v>24.6182970606853</v>
      </c>
    </row>
    <row r="32" spans="2:4" x14ac:dyDescent="0.3">
      <c r="B32" s="15">
        <v>46813</v>
      </c>
      <c r="C32" s="16">
        <v>36.06198543793554</v>
      </c>
      <c r="D32" s="16">
        <v>24.641279876137503</v>
      </c>
    </row>
    <row r="33" spans="2:4" x14ac:dyDescent="0.3">
      <c r="B33" s="15">
        <v>46844</v>
      </c>
      <c r="C33" s="16">
        <v>31.324014511869674</v>
      </c>
      <c r="D33" s="16">
        <v>24.668215852884799</v>
      </c>
    </row>
    <row r="34" spans="2:4" x14ac:dyDescent="0.3">
      <c r="B34" s="15">
        <v>46874</v>
      </c>
      <c r="C34" s="16">
        <v>29.308081237468731</v>
      </c>
      <c r="D34" s="16">
        <v>24.693181242437401</v>
      </c>
    </row>
    <row r="35" spans="2:4" x14ac:dyDescent="0.3">
      <c r="B35" s="15">
        <v>46905</v>
      </c>
      <c r="C35" s="16">
        <v>28.875341634063297</v>
      </c>
      <c r="D35" s="16">
        <v>24.724266169964402</v>
      </c>
    </row>
    <row r="36" spans="2:4" x14ac:dyDescent="0.3">
      <c r="B36" s="15">
        <v>46935</v>
      </c>
      <c r="C36" s="16">
        <v>28.859509697353339</v>
      </c>
      <c r="D36" s="16">
        <v>24.756357790579951</v>
      </c>
    </row>
    <row r="37" spans="2:4" x14ac:dyDescent="0.3">
      <c r="B37" s="15">
        <v>46966</v>
      </c>
      <c r="C37" s="16">
        <v>28.680081081307179</v>
      </c>
      <c r="D37" s="16">
        <v>24.78413466537485</v>
      </c>
    </row>
    <row r="38" spans="2:4" x14ac:dyDescent="0.3">
      <c r="B38" s="15">
        <v>46997</v>
      </c>
      <c r="C38" s="16">
        <v>28.843677760643384</v>
      </c>
      <c r="D38" s="16">
        <v>24.812521695653551</v>
      </c>
    </row>
    <row r="39" spans="2:4" x14ac:dyDescent="0.3">
      <c r="B39" s="15">
        <v>47027</v>
      </c>
      <c r="C39" s="16">
        <v>29.139207245895879</v>
      </c>
      <c r="D39" s="16">
        <v>24.8409090935005</v>
      </c>
    </row>
    <row r="40" spans="2:4" x14ac:dyDescent="0.3">
      <c r="B40" s="15">
        <v>47058</v>
      </c>
      <c r="C40" s="16">
        <v>29.709156967454259</v>
      </c>
      <c r="D40" s="16">
        <v>24.868381118810198</v>
      </c>
    </row>
    <row r="41" spans="2:4" ht="15" thickBot="1" x14ac:dyDescent="0.35">
      <c r="B41" s="17">
        <v>47088</v>
      </c>
      <c r="C41" s="18">
        <v>30.157728507569651</v>
      </c>
      <c r="D41" s="18">
        <v>24.8958534883566</v>
      </c>
    </row>
    <row r="42" spans="2:4" x14ac:dyDescent="0.3">
      <c r="B42" s="19">
        <v>47119</v>
      </c>
      <c r="C42" s="20">
        <v>30.972382378176864</v>
      </c>
      <c r="D42" s="20">
        <v>24.925157728631451</v>
      </c>
    </row>
    <row r="43" spans="2:4" x14ac:dyDescent="0.3">
      <c r="B43" s="15">
        <v>47150</v>
      </c>
      <c r="C43" s="16">
        <v>31.093372466641021</v>
      </c>
      <c r="D43" s="16">
        <v>24.95263080960035</v>
      </c>
    </row>
    <row r="44" spans="2:4" x14ac:dyDescent="0.3">
      <c r="B44" s="15">
        <v>47178</v>
      </c>
      <c r="C44" s="16">
        <v>30.399839995266127</v>
      </c>
      <c r="D44" s="16">
        <v>24.97827266241595</v>
      </c>
    </row>
    <row r="45" spans="2:4" x14ac:dyDescent="0.3">
      <c r="B45" s="15">
        <v>47209</v>
      </c>
      <c r="C45" s="16">
        <v>26.94838166809669</v>
      </c>
      <c r="D45" s="16">
        <v>25.007578004248202</v>
      </c>
    </row>
    <row r="46" spans="2:4" x14ac:dyDescent="0.3">
      <c r="B46" s="15">
        <v>47239</v>
      </c>
      <c r="C46" s="16">
        <v>26.408247344595992</v>
      </c>
      <c r="D46" s="16">
        <v>25.034136308591801</v>
      </c>
    </row>
    <row r="47" spans="2:4" x14ac:dyDescent="0.3">
      <c r="B47" s="15">
        <v>47270</v>
      </c>
      <c r="C47" s="16">
        <v>25.819500931980233</v>
      </c>
      <c r="D47" s="16">
        <v>25.06252657584275</v>
      </c>
    </row>
    <row r="48" spans="2:4" x14ac:dyDescent="0.3">
      <c r="B48" s="15">
        <v>47300</v>
      </c>
      <c r="C48" s="16">
        <v>25.412239652060709</v>
      </c>
      <c r="D48" s="16">
        <v>25.090917210661999</v>
      </c>
    </row>
    <row r="49" spans="2:4" x14ac:dyDescent="0.3">
      <c r="B49" s="15">
        <v>47331</v>
      </c>
      <c r="C49" s="16">
        <v>25.460851741175773</v>
      </c>
      <c r="D49" s="16">
        <v>25.118554594000152</v>
      </c>
    </row>
    <row r="50" spans="2:4" x14ac:dyDescent="0.3">
      <c r="B50" s="15">
        <v>47362</v>
      </c>
      <c r="C50" s="16">
        <v>25.882156513506317</v>
      </c>
      <c r="D50" s="16">
        <v>25.149114595884448</v>
      </c>
    </row>
    <row r="51" spans="2:4" x14ac:dyDescent="0.3">
      <c r="B51" s="15">
        <v>47392</v>
      </c>
      <c r="C51" s="16">
        <v>26.317504778247873</v>
      </c>
      <c r="D51" s="16">
        <v>25.175047093417099</v>
      </c>
    </row>
    <row r="52" spans="2:4" x14ac:dyDescent="0.3">
      <c r="B52" s="15">
        <v>47423</v>
      </c>
      <c r="C52" s="16">
        <v>26.755013580283439</v>
      </c>
      <c r="D52" s="16">
        <v>25.203761070079601</v>
      </c>
    </row>
    <row r="53" spans="2:4" ht="15" thickBot="1" x14ac:dyDescent="0.35">
      <c r="B53" s="17">
        <v>47453</v>
      </c>
      <c r="C53" s="18">
        <v>27.138508949968934</v>
      </c>
      <c r="D53" s="18">
        <v>25.233404607749151</v>
      </c>
    </row>
    <row r="54" spans="2:4" x14ac:dyDescent="0.3">
      <c r="B54" s="19">
        <v>47484</v>
      </c>
      <c r="C54" s="20">
        <v>26.953962525536948</v>
      </c>
      <c r="D54" s="20">
        <v>25.260271962689302</v>
      </c>
    </row>
    <row r="55" spans="2:4" x14ac:dyDescent="0.3">
      <c r="B55" s="15">
        <v>47515</v>
      </c>
      <c r="C55" s="16">
        <v>26.959379971878054</v>
      </c>
      <c r="D55" s="16">
        <v>25.288995286712051</v>
      </c>
    </row>
    <row r="56" spans="2:4" x14ac:dyDescent="0.3">
      <c r="B56" s="15">
        <v>47543</v>
      </c>
      <c r="C56" s="16">
        <v>26.867283384079258</v>
      </c>
      <c r="D56" s="16">
        <v>25.314941641411302</v>
      </c>
    </row>
    <row r="57" spans="2:4" x14ac:dyDescent="0.3">
      <c r="B57" s="15">
        <v>47574</v>
      </c>
      <c r="C57" s="16">
        <v>25.084943537855505</v>
      </c>
      <c r="D57" s="16">
        <v>25.343670959936851</v>
      </c>
    </row>
    <row r="58" spans="2:4" x14ac:dyDescent="0.3">
      <c r="B58" s="15">
        <v>47604</v>
      </c>
      <c r="C58" s="16">
        <v>24.738226972024748</v>
      </c>
      <c r="D58" s="16">
        <v>25.371476525142</v>
      </c>
    </row>
    <row r="59" spans="2:4" x14ac:dyDescent="0.3">
      <c r="B59" s="15">
        <v>47635</v>
      </c>
      <c r="C59" s="16">
        <v>24.402345298876192</v>
      </c>
      <c r="D59" s="16">
        <v>25.402066053803551</v>
      </c>
    </row>
    <row r="60" spans="2:4" x14ac:dyDescent="0.3">
      <c r="B60" s="15">
        <v>47665</v>
      </c>
      <c r="C60" s="16">
        <v>22.880042877025517</v>
      </c>
      <c r="D60" s="16">
        <v>25.4280236043593</v>
      </c>
    </row>
    <row r="61" spans="2:4" x14ac:dyDescent="0.3">
      <c r="B61" s="15">
        <v>47696</v>
      </c>
      <c r="C61" s="16">
        <v>23.264681567244018</v>
      </c>
      <c r="D61" s="16">
        <v>25.456799278845299</v>
      </c>
    </row>
    <row r="62" spans="2:4" x14ac:dyDescent="0.3">
      <c r="B62" s="15">
        <v>47727</v>
      </c>
      <c r="C62" s="16">
        <v>23.990619376952168</v>
      </c>
      <c r="D62" s="16">
        <v>25.486539565754548</v>
      </c>
    </row>
    <row r="63" spans="2:4" x14ac:dyDescent="0.3">
      <c r="B63" s="15">
        <v>47757</v>
      </c>
      <c r="C63" s="16">
        <v>25.167288722240315</v>
      </c>
      <c r="D63" s="16">
        <v>25.513494825560151</v>
      </c>
    </row>
    <row r="64" spans="2:4" x14ac:dyDescent="0.3">
      <c r="B64" s="15">
        <v>47788</v>
      </c>
      <c r="C64" s="16">
        <v>26.01241035145279</v>
      </c>
      <c r="D64" s="16">
        <v>25.5423123543389</v>
      </c>
    </row>
    <row r="65" spans="2:4" ht="15" thickBot="1" x14ac:dyDescent="0.35">
      <c r="B65" s="17">
        <v>47818</v>
      </c>
      <c r="C65" s="18">
        <v>26.510815414834507</v>
      </c>
      <c r="D65" s="18">
        <v>25.57113327817375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Listy</vt:lpstr>
      </vt:variant>
      <vt:variant>
        <vt:i4>1</vt:i4>
      </vt:variant>
    </vt:vector>
  </HeadingPairs>
  <TitlesOfParts>
    <vt:vector size="1" baseType="lpstr">
      <vt:lpstr>Forward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Kužel Patrik</dc:creator>
  <cp:lastModifiedBy>Luboš Capoušek</cp:lastModifiedBy>
  <dcterms:created xsi:type="dcterms:W3CDTF">2026-07-28T07:55:46Z</dcterms:created>
  <dcterms:modified xsi:type="dcterms:W3CDTF">2026-07-28T07:56:51Z</dcterms:modified>
</cp:coreProperties>
</file>